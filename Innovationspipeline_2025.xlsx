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wamocon-my.sharepoint.com/personal/waleri_moretz_wamocon_com/Documents/01_WMC/06 Management/06-01 Projekt/06-01-24 WMC App Zentrale/"/>
    </mc:Choice>
  </mc:AlternateContent>
  <xr:revisionPtr revIDLastSave="1446" documentId="13_ncr:1_{43118150-581F-42F5-9D1E-D238588DC466}" xr6:coauthVersionLast="47" xr6:coauthVersionMax="47" xr10:uidLastSave="{738E845B-551B-4DE2-AD7A-5E123DE08B2D}"/>
  <bookViews>
    <workbookView xWindow="-38510" yWindow="-110" windowWidth="38620" windowHeight="21100" firstSheet="3" activeTab="4" xr2:uid="{00000000-000D-0000-FFFF-FFFF00000000}"/>
  </bookViews>
  <sheets>
    <sheet name="Anleitung" sheetId="5" r:id="rId1"/>
    <sheet name="Dashboard" sheetId="1" r:id="rId2"/>
    <sheet name="_Listen" sheetId="2" state="hidden" r:id="rId3"/>
    <sheet name="App-Ideen Liste" sheetId="3" r:id="rId4"/>
    <sheet name="Übersicht" sheetId="8" r:id="rId5"/>
    <sheet name="Status" sheetId="7" r:id="rId6"/>
    <sheet name="Trendanalyse TOP 50" sheetId="4" r:id="rId7"/>
    <sheet name="Domänen" sheetId="6" r:id="rId8"/>
  </sheets>
  <definedNames>
    <definedName name="_xlnm._FilterDatabase" localSheetId="3" hidden="1">'App-Ideen Liste'!$A$1:$AA$43</definedName>
    <definedName name="_xlnm._FilterDatabase" localSheetId="6" hidden="1">'Trendanalyse TOP 50'!$A$1:$R$51</definedName>
    <definedName name="_xlnm._FilterDatabase" localSheetId="4" hidden="1">Übersicht!$B$2:$Q$60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1" l="1"/>
  <c r="B5" i="1"/>
  <c r="P26" i="3"/>
  <c r="O26" i="3"/>
  <c r="B25" i="3"/>
  <c r="O17" i="3"/>
  <c r="O7" i="3"/>
  <c r="O4" i="3"/>
  <c r="A24" i="5"/>
  <c r="O25" i="4"/>
  <c r="P25" i="4" s="1"/>
  <c r="N25" i="4"/>
  <c r="O39" i="4"/>
  <c r="N39" i="4"/>
  <c r="O42" i="4"/>
  <c r="N42" i="4"/>
  <c r="O43" i="4"/>
  <c r="N43" i="4"/>
  <c r="O50" i="4"/>
  <c r="P50" i="4" s="1"/>
  <c r="N50" i="4"/>
  <c r="O49" i="4"/>
  <c r="N49" i="4"/>
  <c r="O41" i="4"/>
  <c r="P41" i="4" s="1"/>
  <c r="N41" i="4"/>
  <c r="O29" i="4"/>
  <c r="P29" i="4" s="1"/>
  <c r="N29" i="4"/>
  <c r="O28" i="4"/>
  <c r="N28" i="4"/>
  <c r="O7" i="4"/>
  <c r="N7" i="4"/>
  <c r="O11" i="4"/>
  <c r="N11" i="4"/>
  <c r="O10" i="4"/>
  <c r="P42" i="4" s="1"/>
  <c r="P10" i="4"/>
  <c r="N10" i="4"/>
  <c r="O27" i="4"/>
  <c r="N27" i="4"/>
  <c r="O24" i="4"/>
  <c r="N24" i="4"/>
  <c r="O51" i="4"/>
  <c r="N51" i="4"/>
  <c r="O38" i="4"/>
  <c r="P38" i="4" s="1"/>
  <c r="N38" i="4"/>
  <c r="O47" i="4"/>
  <c r="N47" i="4"/>
  <c r="O26" i="4"/>
  <c r="N26" i="4"/>
  <c r="O37" i="4"/>
  <c r="P37" i="4"/>
  <c r="N37" i="4"/>
  <c r="O17" i="4"/>
  <c r="N17" i="4"/>
  <c r="O23" i="4"/>
  <c r="N23" i="4"/>
  <c r="O5" i="4"/>
  <c r="P5" i="4" s="1"/>
  <c r="N5" i="4"/>
  <c r="O4" i="4"/>
  <c r="N4" i="4"/>
  <c r="O2" i="4"/>
  <c r="P49" i="4" s="1"/>
  <c r="N2" i="4"/>
  <c r="O22" i="4"/>
  <c r="N22" i="4"/>
  <c r="O16" i="4"/>
  <c r="P16" i="4"/>
  <c r="N16" i="4"/>
  <c r="O9" i="4"/>
  <c r="N9" i="4"/>
  <c r="O15" i="4"/>
  <c r="P15" i="4" s="1"/>
  <c r="N15" i="4"/>
  <c r="O21" i="4"/>
  <c r="N21" i="4"/>
  <c r="O14" i="4"/>
  <c r="N14" i="4"/>
  <c r="O48" i="4"/>
  <c r="N48" i="4"/>
  <c r="O40" i="4"/>
  <c r="N40" i="4"/>
  <c r="O36" i="4"/>
  <c r="P36" i="4"/>
  <c r="N36" i="4"/>
  <c r="O35" i="4"/>
  <c r="N35" i="4"/>
  <c r="O13" i="4"/>
  <c r="N13" i="4"/>
  <c r="O34" i="4"/>
  <c r="P34" i="4" s="1"/>
  <c r="N34" i="4"/>
  <c r="O20" i="4"/>
  <c r="N20" i="4"/>
  <c r="O46" i="4"/>
  <c r="N46" i="4"/>
  <c r="O33" i="4"/>
  <c r="N33" i="4"/>
  <c r="O19" i="4"/>
  <c r="P19" i="4"/>
  <c r="N19" i="4"/>
  <c r="O45" i="4"/>
  <c r="N45" i="4"/>
  <c r="O44" i="4"/>
  <c r="N44" i="4"/>
  <c r="O18" i="4"/>
  <c r="N18" i="4"/>
  <c r="O8" i="4"/>
  <c r="N8" i="4"/>
  <c r="O32" i="4"/>
  <c r="N32" i="4"/>
  <c r="O12" i="4"/>
  <c r="N12" i="4"/>
  <c r="O30" i="4"/>
  <c r="P30" i="4"/>
  <c r="N30" i="4"/>
  <c r="O3" i="4"/>
  <c r="N3" i="4"/>
  <c r="O31" i="4"/>
  <c r="N31" i="4"/>
  <c r="O6" i="4"/>
  <c r="N6" i="4"/>
  <c r="P4" i="3"/>
  <c r="Q4" i="3" s="1"/>
  <c r="P3" i="3"/>
  <c r="Q3" i="3" s="1"/>
  <c r="O3" i="3"/>
  <c r="P2" i="3"/>
  <c r="Q2" i="3" s="1"/>
  <c r="B6" i="1" s="1"/>
  <c r="O2" i="3"/>
  <c r="B9" i="1"/>
  <c r="B8" i="1"/>
  <c r="P44" i="4"/>
  <c r="P3" i="4" l="1"/>
  <c r="P12" i="4"/>
  <c r="P33" i="4"/>
  <c r="P40" i="4"/>
  <c r="P22" i="4"/>
  <c r="P26" i="4"/>
  <c r="P11" i="4"/>
  <c r="P43" i="4"/>
  <c r="P32" i="4"/>
  <c r="P46" i="4"/>
  <c r="P48" i="4"/>
  <c r="P2" i="4"/>
  <c r="P47" i="4"/>
  <c r="P7" i="4"/>
  <c r="P8" i="4"/>
  <c r="P20" i="4"/>
  <c r="P14" i="4"/>
  <c r="P4" i="4"/>
  <c r="P28" i="4"/>
  <c r="P39" i="4"/>
  <c r="P51" i="4"/>
  <c r="P6" i="4"/>
  <c r="P18" i="4"/>
  <c r="P21" i="4"/>
  <c r="P13" i="4"/>
  <c r="P23" i="4"/>
  <c r="P24" i="4"/>
  <c r="P31" i="4"/>
  <c r="P45" i="4"/>
  <c r="P35" i="4"/>
  <c r="P9" i="4"/>
  <c r="P17" i="4"/>
  <c r="P27" i="4"/>
  <c r="B10" i="1" l="1"/>
</calcChain>
</file>

<file path=xl/sharedStrings.xml><?xml version="1.0" encoding="utf-8"?>
<sst xmlns="http://schemas.openxmlformats.org/spreadsheetml/2006/main" count="1990" uniqueCount="1324">
  <si>
    <t>ANLEITUNG ZUR NUTZUNG DER INNOVATIONSPIPELINE</t>
  </si>
  <si>
    <t>ÜBERSICHT</t>
  </si>
  <si>
    <t>Diese Excel-Datei dient zur systematischen Erfassung und Bewertung von App-Ideen</t>
  </si>
  <si>
    <t>basierend auf einer Analyse der TOP 50 Probleme mit Technologielösungsbedarf.</t>
  </si>
  <si>
    <t>TABELLENBLÄTTER:</t>
  </si>
  <si>
    <t>1. Dashboard - Übersicht und KPIs</t>
  </si>
  <si>
    <t>2. App-Ideen Liste - Erfassung neuer Ideen mit Scoring</t>
  </si>
  <si>
    <t>3. Trendanalyse TOP 50 - Analysierte Probleme als Ideenquelle</t>
  </si>
  <si>
    <t>4. Anleitung - Diese Hilfeseite</t>
  </si>
  <si>
    <t>SCORING-SYSTEM:</t>
  </si>
  <si>
    <t>Für jede Idee werden 4 Dimensionen bewertet (1-10):</t>
  </si>
  <si>
    <t>• Marktpotenzial: Wie groß ist der adressierbare Markt?</t>
  </si>
  <si>
    <t>• Dringlichkeit: Wie dringend braucht der Markt eine Lösung?</t>
  </si>
  <si>
    <t>• Machbarkeit: Wie realistisch ist die technische Umsetzung?</t>
  </si>
  <si>
    <t>• Wettbewerbsintensität: Wie viele Wettbewerber gibt es? (1=wenig, 10=viel)</t>
  </si>
  <si>
    <t>WICHTIG: Hohe Wettbewerbsintensität ist NEGATIV!</t>
  </si>
  <si>
    <t>OPPORTUNITY SCORE FORMEL:</t>
  </si>
  <si>
    <t>→ Maximaler Score: 10 (perfekte Opportunity)</t>
  </si>
  <si>
    <t>→ Je höher der Score, desto attraktiver die Idee</t>
  </si>
  <si>
    <t>PRIORITÄT (automatisch berechnet):</t>
  </si>
  <si>
    <t>• Sehr Hoch: Opportunity Score &gt;= 7</t>
  </si>
  <si>
    <t>• Hoch: Opportunity Score &gt;= 5</t>
  </si>
  <si>
    <t>• Mittel: Opportunity Score &gt;= 3</t>
  </si>
  <si>
    <t>• Niedrig: Opportunity Score &lt; 3</t>
  </si>
  <si>
    <t>DEUTSCHLAND-RELEVANZ (Blatt 2):</t>
  </si>
  <si>
    <t>4 = Sehr hoch (Deutschland-spezifisches Problem)</t>
  </si>
  <si>
    <t>3 = Hoch (DACH-Region betroffen)</t>
  </si>
  <si>
    <t>2 = Mittel (EU-weites Problem)</t>
  </si>
  <si>
    <t>1 = Niedrig (Globales Problem, DE wenig betroffen)</t>
  </si>
  <si>
    <t>WORKFLOW:</t>
  </si>
  <si>
    <t>1. Blatt 'Trendanalyse TOP 50' nach Opportunity Score sortieren (Spalte O)</t>
  </si>
  <si>
    <t>2. Probleme mit hohem Score und hoher DE-Relevanz identifizieren</t>
  </si>
  <si>
    <t>3. Neue Idee in Blatt 'App-Ideen Liste' anlegen</t>
  </si>
  <si>
    <t>4. In Spalte 'Basiert auf Problem #' die Referenznummer eintragen</t>
  </si>
  <si>
    <t>5. Scoring-Werte eingeben - Opportunity Score berechnet sich automatisch</t>
  </si>
  <si>
    <t>6. Status regelmäßig aktualisieren</t>
  </si>
  <si>
    <t>VERSION: 2.0</t>
  </si>
  <si>
    <t>ERSTELLT: 2025-01-26</t>
  </si>
  <si>
    <t>METHODE: K6 ISTQB (Erschaffen)</t>
  </si>
  <si>
    <t>INNOVATIONSPIPELINE 2025 - DASHBOARD</t>
  </si>
  <si>
    <t>Version 2.0 | Erstellt: 2025-01-26 | Antigrafity Projekte</t>
  </si>
  <si>
    <t>KENNZAHLEN</t>
  </si>
  <si>
    <t>Anzahl App-Ideen:</t>
  </si>
  <si>
    <t>Davon "Sehr Hoch" Priorität:</t>
  </si>
  <si>
    <t>Davon "In Entwicklung":</t>
  </si>
  <si>
    <t>TOP 50 Probleme analysiert:</t>
  </si>
  <si>
    <t>Davon DE-Relevanz &gt;= 3:</t>
  </si>
  <si>
    <t>Durchschn. Opportunity Score:</t>
  </si>
  <si>
    <t>TOP 5 OPPORTUNITIES (Nach Score)</t>
  </si>
  <si>
    <t>Rang</t>
  </si>
  <si>
    <t>Problem</t>
  </si>
  <si>
    <t>Branche</t>
  </si>
  <si>
    <t>Opp. Score</t>
  </si>
  <si>
    <t>1</t>
  </si>
  <si>
    <t>(Nach Score sortieren in Blatt 2)</t>
  </si>
  <si>
    <t>Hinweis: Blatt 'Trendanalyse TOP 50' nach Spalte P sortieren für aktuelle TOP 5</t>
  </si>
  <si>
    <t>WORKFLOW</t>
  </si>
  <si>
    <t>1. Blatt 'Trendanalyse TOP 50' nach Opportunity Score (Spalte P) sortieren</t>
  </si>
  <si>
    <t>2. Vielversprechende Probleme identifizieren (hoher Score, niedrige Wettbewerbsintensität)</t>
  </si>
  <si>
    <t>3. Neue App-Idee in Blatt 'App-Ideen Liste' anlegen</t>
  </si>
  <si>
    <t>4. In Spalte 'Basiert auf Problem #' die Referenz eintragen</t>
  </si>
  <si>
    <t>5. Scoring durchführen und Priorität automatisch berechnen lassen</t>
  </si>
  <si>
    <t>Branchen</t>
  </si>
  <si>
    <t>Status</t>
  </si>
  <si>
    <t>DE-Relevanz</t>
  </si>
  <si>
    <t>Gesundheit</t>
  </si>
  <si>
    <t>Ideenphase</t>
  </si>
  <si>
    <t>Immobilien</t>
  </si>
  <si>
    <t>Konzeptphase</t>
  </si>
  <si>
    <t>KMU/Mittelstand</t>
  </si>
  <si>
    <t>Validierung</t>
  </si>
  <si>
    <t>IT/Sicherheit</t>
  </si>
  <si>
    <t>In Entwicklung</t>
  </si>
  <si>
    <t>Logistik</t>
  </si>
  <si>
    <t>MVP fertig</t>
  </si>
  <si>
    <t>Bildung</t>
  </si>
  <si>
    <t>Live</t>
  </si>
  <si>
    <t>Energie</t>
  </si>
  <si>
    <t>Pausiert</t>
  </si>
  <si>
    <t>Verwaltung</t>
  </si>
  <si>
    <t>Abgelehnt</t>
  </si>
  <si>
    <t>Bauwesen</t>
  </si>
  <si>
    <t>Finanzen</t>
  </si>
  <si>
    <t>HR/Personal</t>
  </si>
  <si>
    <t>Recht</t>
  </si>
  <si>
    <t>Landwirtschaft</t>
  </si>
  <si>
    <t>KI/Tech</t>
  </si>
  <si>
    <t>Mobilität</t>
  </si>
  <si>
    <t>Kommunikation</t>
  </si>
  <si>
    <t>E-Commerce</t>
  </si>
  <si>
    <t>Medien/Info</t>
  </si>
  <si>
    <t>Nachhaltigkeit</t>
  </si>
  <si>
    <t>Sonstige</t>
  </si>
  <si>
    <t>Universelle Lade-App mit Echtzeit-Verfügbarkeit fehlt</t>
  </si>
  <si>
    <t>App-Name</t>
  </si>
  <si>
    <t xml:space="preserve">Verantwortlicher </t>
  </si>
  <si>
    <t>Welle</t>
  </si>
  <si>
    <t>Zielgruppe</t>
  </si>
  <si>
    <t>Problembeschreibung</t>
  </si>
  <si>
    <t>Lösungsansatz</t>
  </si>
  <si>
    <t>USP (Alleinstellungsmerkmal)</t>
  </si>
  <si>
    <t>Wettbewerber</t>
  </si>
  <si>
    <t>Marktpotenzial (1-10)</t>
  </si>
  <si>
    <t>Dringlichkeit (1-10)</t>
  </si>
  <si>
    <t>Machbarkeit (1-10)</t>
  </si>
  <si>
    <t>Wettbewerbsintensität (1-10)</t>
  </si>
  <si>
    <t>Gesamtscore</t>
  </si>
  <si>
    <t>Opportunity Score</t>
  </si>
  <si>
    <t>Priorität</t>
  </si>
  <si>
    <t>Basiert auf Problem #</t>
  </si>
  <si>
    <t>Entwicklungsaufwand</t>
  </si>
  <si>
    <t>Technologie-Stack</t>
  </si>
  <si>
    <t>Regulatorische Anforderungen</t>
  </si>
  <si>
    <t>Monetarisierung</t>
  </si>
  <si>
    <t>Verantwortlich</t>
  </si>
  <si>
    <t>Erstellt am</t>
  </si>
  <si>
    <t>Bemerkungen</t>
  </si>
  <si>
    <t>Domain</t>
  </si>
  <si>
    <t>APP-001</t>
  </si>
  <si>
    <t>Rent Navigator</t>
  </si>
  <si>
    <t>Waleri</t>
  </si>
  <si>
    <t>Vermieter, Hausverwaltungen</t>
  </si>
  <si>
    <t>Manuelle Verwaltung von Mieteinnahmen, Kundenbeziehungen und Verträgen ist zeitaufwändig und fehleranfällig</t>
  </si>
  <si>
    <t>App für Verwaltung von Mieteinnahmen, CRM für Mieter/Lieferanten, automatische Vertragserstellung</t>
  </si>
  <si>
    <t>Automatische Generierung gesetzeskonformer Mietverträge und Übergabeprotokolle gemäß BGB</t>
  </si>
  <si>
    <t>Haufe, Vermietet.de, Immoware24</t>
  </si>
  <si>
    <t>6-9 Monate</t>
  </si>
  <si>
    <t>React, Node.js, PostgreSQL</t>
  </si>
  <si>
    <t>DSGVO, Mietrecht BGB</t>
  </si>
  <si>
    <t>SaaS Abo-Modell</t>
  </si>
  <si>
    <t>Team Alpha</t>
  </si>
  <si>
    <t>2025-01-26</t>
  </si>
  <si>
    <t>MVP bereits gestartet</t>
  </si>
  <si>
    <t>rent-navigator.ai, Immobilien-navigator.ai</t>
  </si>
  <si>
    <t>APP-002</t>
  </si>
  <si>
    <t>HealthBridge</t>
  </si>
  <si>
    <t>Patienten, Ärzte, Pflegedienste</t>
  </si>
  <si>
    <t>Mangelnde Kommunikation zwischen Patienten, Ärzten und Pflegediensten führt zu Behandlungsfehlern</t>
  </si>
  <si>
    <t>Integrierte Plattform für Patientendaten, Termine, Medikation mit Echtzeit-Kommunikation</t>
  </si>
  <si>
    <t>KI-gestützte Medikamenteninteraktionsprüfung und automatische Erinnerungen</t>
  </si>
  <si>
    <t>Doctolib, Jameda, CGM</t>
  </si>
  <si>
    <t>12-18 Monate</t>
  </si>
  <si>
    <t>Flutter, Python, FHIR</t>
  </si>
  <si>
    <t>MDR, DSGVO, DiGA-Verordnung</t>
  </si>
  <si>
    <t>B2B Lizenzmodell + Krankenkassen</t>
  </si>
  <si>
    <t>-</t>
  </si>
  <si>
    <t>Regulatorische Hürden prüfen</t>
  </si>
  <si>
    <t>meine-gesundheit.ai</t>
  </si>
  <si>
    <t>APP-003</t>
  </si>
  <si>
    <t>MittelstandDigital</t>
  </si>
  <si>
    <t>Nikolaj</t>
  </si>
  <si>
    <t>Deutsche KMU 10-250 MA</t>
  </si>
  <si>
    <t>53% der KMU haben Probleme mit Digitalisierung, fehlende integrierte Lösungen für E-Rechnung, Buchhaltung, CRM</t>
  </si>
  <si>
    <t>All-in-One Plattform für KMU: E-Rechnung (ab 2025 Pflicht), Buchhaltung, CRM, Projektmanagement</t>
  </si>
  <si>
    <t>Speziell für deutsche Compliance (GoBD, E-Rechnung XRechnung), einfache Bedienung</t>
  </si>
  <si>
    <t>Lexoffice, sevDesk, Sage</t>
  </si>
  <si>
    <t>9-12 Monate</t>
  </si>
  <si>
    <t>Vue.js, .NET, SQL Server</t>
  </si>
  <si>
    <t>GoBD, DSGVO, E-Rechnungsgesetz</t>
  </si>
  <si>
    <t>Freemium + Premium Abo</t>
  </si>
  <si>
    <t>E-Rechnung 2025 als Treiber</t>
  </si>
  <si>
    <t>mittelstanddigital.ai</t>
  </si>
  <si>
    <t>APP-004</t>
  </si>
  <si>
    <t>Skillmapping (Kompetenzkompass)</t>
  </si>
  <si>
    <t>Alle</t>
  </si>
  <si>
    <t xml:space="preserve">Daniel </t>
  </si>
  <si>
    <t>Personalabteilung</t>
  </si>
  <si>
    <t>Unternehmen kennen die tatsächlichen Fähigkeiten ihrer Mitarbeiter nicht. Manuelle Kompetenzmatrizen veralten sofort, was zu teurem externen Recruiting führt, obwohl intern "versteckte" Talente für neue Projekte vorhanden wären ("Skill-Gap").</t>
  </si>
  <si>
    <t>Ein KI-gestützter Prozessablauf, der Fähigkeiten automatisch aus Texten (Lebensläufe, Projekt-Logs, Zertifikate) extrahiert und eine dynamische Skill-Datenbank erstellt. Bei neuen Anforderungen (Jobs/Projekte) matcht die KI automatisch die besten internen Kandidaten.</t>
  </si>
  <si>
    <t>"Zero-Manual-Entry" – Die KI inferiert und aktualisiert Skills automatisch im Hintergrund. Fokus auf KMU durch extrem simple Integration ohne riesiges Enterprise-Software-Projekt.</t>
  </si>
  <si>
    <t>Eightfold AI, TechWolf, MuchSkills, Workday Skills Cloud (oft zu teuer/komplex für KMU), klassische Excel-Listen.</t>
  </si>
  <si>
    <t>Mittel-Hoch</t>
  </si>
  <si>
    <t>Python (Backend), React (Frontend), Graphdatenbank (z.B. Neo4j für das Skill-Netzwerk), Open-Source LLMs (für Datenschutz) oder OpenAI API.</t>
  </si>
  <si>
    <t>DSGVO (extrem sensibel bei Mitarbeiterdaten!), zwingende Zustimmung des Betriebsrats (darf nicht zur reinen Leistungskontrolle missbraucht werden).</t>
  </si>
  <si>
    <t>B2B SaaS-Abo (Preis pro Mitarbeiter/Monat, z.B. 2-5 € pro Kopf)</t>
  </si>
  <si>
    <t>Team HR-Tech / Innovation</t>
  </si>
  <si>
    <t>Kritischer Erfolgsfaktor im DACH-Raum ist der Betriebsrat. Die App muss zwingend als "Karriere- und Weiterbildungs-Tool" für den Mitarbeiter positioniert werden (Empfehlungen für Trainings), nicht als Überwachungstool. Ein Open-Source LLM (lokal gehostet) ist für HR-Daten stark zu empfehlen.</t>
  </si>
  <si>
    <t>kompetenzkompass.app</t>
  </si>
  <si>
    <t>APP-005</t>
  </si>
  <si>
    <t>AI SafeGuard Proxy</t>
  </si>
  <si>
    <t>IT-Security / Branchenübergreifende B2B-Software</t>
  </si>
  <si>
    <t>Yash</t>
  </si>
  <si>
    <t>Mittelständische Unternehmen (KMU), Großkonzerne, CISOs (Chief Information Security Officers), IT-Administratoren</t>
  </si>
  <si>
    <t>Ungesteuerte Nutzung von KI im Unternehmen führt zu extremen Risiken: Datenabfluss (DSGVO-Verstöße), Ausführung toxischer Prompts (Prompt Injections) und Fehlentscheidungen durch KI-Halluzinationen.</t>
  </si>
  <si>
    <t>Eine Middleware/Gateway-App, die als Proxy zwischen Mitarbeitern und externen KI-Modellen agiert. Sie filtert sensible Daten aus Prompts (DLP), blockiert böswillige Anfragen und prüft die KI-Antworten auf Richtigkeit und Compliance.</t>
  </si>
  <si>
    <t>Echtzeit-Anonymisierung von PII (personenbezogenen Daten) vor dem Senden an die KI, vollständige Audit-Logs für Compliance-Prüfungen und flexibler Wechsel zwischen KIs (OpenAI, Anthropic, Gemini) im Hintergrund.</t>
  </si>
  <si>
    <t>Cloudflare AI Gateway, Nvidia NeMo Guardrails (als Framework), Lakera, Portkey</t>
  </si>
  <si>
    <t>Hoch</t>
  </si>
  <si>
    <t>Python, FastAPI, PostgreSQL (für Audit-Logs), Redis (für Caching &amp; Rate Limiting), Docker/Kubernetes (für sicheres On-Premise-Hosting)</t>
  </si>
  <si>
    <t>DSGVO, EU AI Act, ISO 27001 (Informationssicherheit)</t>
  </si>
  <si>
    <t>B2B SaaS-Modell (Abrechnung pro Nutzer/Monat) oder Enterprise-Jahreslizenz für lokales Hosting (On-Premise)</t>
  </si>
  <si>
    <t>Nicht den kompletten Filter selbst bauen! Stattdessen Fokus auf eine gute Benutzeroberfläche für Administratoren und die Integration bewährter Open-Source-Sicherheitsfilter (wie Llama-Guard oder NeMo Guardrails) in das Backend.</t>
  </si>
  <si>
    <t>ai-gaurd.ai, 
ki-schutz.ai</t>
  </si>
  <si>
    <t>APP-006</t>
  </si>
  <si>
    <t>Finance-Safe</t>
  </si>
  <si>
    <t xml:space="preserve">Alle Personen, die ihre Finanzen mehr kontrolieren wollen </t>
  </si>
  <si>
    <t xml:space="preserve">Viele Menschen haben Probleme mit ihren Finanzen und es fällt ihnen schwer zu sparen. Ständig ist das Geld knapp und auch wenn das Gehalt steigt, reicht es nach kurzer Zeit nicht aus und man kann nichts zur Seite legen </t>
  </si>
  <si>
    <t>Eine App, die Sparplan beinhaltet und den Nutzer dazu bringt mehr Kontrolle über seine Finanzen zu bekommen und gelichzeitig den Nutzer zum sparen bringt</t>
  </si>
  <si>
    <t>Viele unterschiedliche Anbieter. Einer der größten ist FinanzGuru</t>
  </si>
  <si>
    <t xml:space="preserve">Mittel </t>
  </si>
  <si>
    <t>1 Monat</t>
  </si>
  <si>
    <t>finance-Safe.ai, 
finance-helper.ai, 
finance-tracker.ai, 
finance-minister.ai,</t>
  </si>
  <si>
    <t>APP-007</t>
  </si>
  <si>
    <t>MycoTrace</t>
  </si>
  <si>
    <t>Agrar-Tech</t>
  </si>
  <si>
    <t>Regenerative Landwirte, Großbetriebe</t>
  </si>
  <si>
    <t>Bodenverschlechterung ist unsichtbar. Mykorrhiza-Netzwerke (Pilze) im Boden, die für Ertrag und CO2-Speicherung essenziell sind, können bisher nicht live überwacht werden.</t>
  </si>
  <si>
    <t>App gekoppelt mit günstigen, biologisch abbaubaren Bodensensoren, die die chemische Kommunikation des Pilznetzwerks in Echtzeit als "Underground Map" visualisieren.</t>
  </si>
  <si>
    <t>Weltweit erstes Tool zur Live-Kartierung unterirdischer Biodiversität zur massiven Einsparung von Kunstdünger.</t>
  </si>
  <si>
    <t>Laboranalysen (teuer, langsam), klassische Bodenfeuchtesensoren (CropX)</t>
  </si>
  <si>
    <t>18-24 Monate</t>
  </si>
  <si>
    <t>Python (AI-Auswertung), React Native, IoT-Protokolle (LoRaWAN)</t>
  </si>
  <si>
    <t>EU-Agrarrichtlinien, Düngeverordnung</t>
  </si>
  <si>
    <t>Hardware-Verkauf + SaaS-Abo für prädiktive Datenanalyse</t>
  </si>
  <si>
    <t>Team DeepTech</t>
  </si>
  <si>
    <t>Benötigt starke Partnerschaft mit Agrarforschungsinstituten für die Sensor-Hardware.</t>
  </si>
  <si>
    <t>mycotrace.ai</t>
  </si>
  <si>
    <t>APP-008</t>
  </si>
  <si>
    <t>NeuroFlow Workspace</t>
  </si>
  <si>
    <t>HR / Smart Building</t>
  </si>
  <si>
    <t>Großkonzerne, Neurodivergente Arbeitnehmer</t>
  </si>
  <si>
    <t>Großraumbüros führen bei neurodivergenten Menschen (z.B. ADHS, Autismus) oft zu Reizüberflutung. Starre Umgebungen mindern die Inklusion und Produktivität.</t>
  </si>
  <si>
    <t>App, die sich mit Wearables (Puls, HRV) und Smart-Office-Systemen verbindet, um Licht, Geräuschunterdrückung und Raumtemperatur am Platz an den kognitiven Zustand anzupassen.</t>
  </si>
  <si>
    <t>Biometrisch gesteuerte, hyperpersonalisierte Raumumgebung für echte kognitive Barrierefreiheit im Büro.</t>
  </si>
  <si>
    <t>Keine direkten; Smart-Lighting-Anbieter (Philips Hue) aber ohne biometrischen/HR-Fokus</t>
  </si>
  <si>
    <t>Mittel</t>
  </si>
  <si>
    <t>Swift, Kotlin, BLE (Bluetooth Low Energy), Matter-Protokoll</t>
  </si>
  <si>
    <t>DSGVO (Gesundheitsdaten extrem sensibel!)</t>
  </si>
  <si>
    <t>B2B Enterprise-Lizenzen (finanziert aus dem Inklusions- &amp; ESG-Budget)</t>
  </si>
  <si>
    <t>Sehr starke Positionierung als ESG/Inklusions-Maßnahme. Echter Impact für Betroffene.</t>
  </si>
  <si>
    <t>https://www.google.com/search?q=neuroflow-workspace.com</t>
  </si>
  <si>
    <t>APP-009</t>
  </si>
  <si>
    <t>DataDividend</t>
  </si>
  <si>
    <t>Web3 / KI-Ethik</t>
  </si>
  <si>
    <t>Heavy-Internet-User, Content Creator</t>
  </si>
  <si>
    <t>Nutzer generieren permanent wertvolle Trainingsdaten für KI-Modelle, werden dafür aber weder um Erlaubnis gefragt noch kompensiert.</t>
  </si>
  <si>
    <t>Eine "Personal Data Wallet" (Browser-Extension/Mobile App), die Nutzerdaten lokal verschlüsselt und es erlaubt, Datenströme anonymisiert direkt an KI-Entwickler gegen Mikrozahlungen zu leasen.</t>
  </si>
  <si>
    <t>Umkehrung des Datenmarktes: Nutzer werden zu aktiven, bezahlten Daten-Providern mit absoluter lokaler Kontrolle (Zero-Knowledge-Proofs).</t>
  </si>
  <si>
    <t>Brave Browser (BAT-Token), diverse gescheiterte Web3-Datenmarktplätze</t>
  </si>
  <si>
    <t>Rust (Core), React, Zero-Knowledge-Proofs (zk-SNARKs), Stripe / Krypto (Micropayments)</t>
  </si>
  <si>
    <t>DSGVO, AI Act, Finanzmarktrichtlinien (je nach Auszahlung)</t>
  </si>
  <si>
    <t>Transaktionsgebühr bei Daten-Leasing (z.B. 15% Cut)</t>
  </si>
  <si>
    <t>Team Innovation</t>
  </si>
  <si>
    <t>Technisch hochkomplex, trifft aber genau den eskalierenden Zeitgeist bzgl. KI-Urheberrecht.</t>
  </si>
  <si>
    <t>datadividend.io</t>
  </si>
  <si>
    <t>APP-010</t>
  </si>
  <si>
    <t>ARchitect X-Ray</t>
  </si>
  <si>
    <t>Handwerk / PropTech</t>
  </si>
  <si>
    <t>Installateure, Baufirmen, DIY-Heimwerker</t>
  </si>
  <si>
    <t>Beim Bohren in Wände werden oft Leitungen getroffen, da Bestandspläne veraltet sind und gängige Ortungsgeräte unpräzise und fehleranfällig arbeiten.</t>
  </si>
  <si>
    <t>AR-App, die das Smartphone-LiDAR mit digitalen Bauplänen und aufsteckbaren Wärmebildkameras (FLIR) kombiniert, um ein 3D-Hologramm der Leitungen auf die Wand zu projizieren.</t>
  </si>
  <si>
    <t>Erste Consumer/Prosumer-ready "Röntgenblick"-AR, die thermische und strukturelle Daten in Echtzeit auf dem Screen fusioniert.</t>
  </si>
  <si>
    <t>Bosch Ortungsgeräte, Walabot DIY</t>
  </si>
  <si>
    <t>12-15 Monate</t>
  </si>
  <si>
    <t>Unity, ARKit (iOS) / ARCore (Android), Computer Vision Modelle</t>
  </si>
  <si>
    <t>Produkthaftungsgesetz</t>
  </si>
  <si>
    <t>Freemium (Basis-Scan) + Hardware-Vermittlung + Pro-Abo für Handwerker</t>
  </si>
  <si>
    <t>Smartphone-Hardware ist mittlerweile stark genug dafür (LiDAR ist bei Apple Pro-Modellen Standard).</t>
  </si>
  <si>
    <t>https://www.google.com/search?q=architect-xray.com</t>
  </si>
  <si>
    <t>APP-011</t>
  </si>
  <si>
    <t>UrbanMiner</t>
  </si>
  <si>
    <t>Bauwesen / Circular Economy</t>
  </si>
  <si>
    <t>Architekten, Bauunternehmen, Stadtplaner</t>
  </si>
  <si>
    <t>Beim Gebäudeabriss werden wertvolle Rohstoffe vernichtet (Downcycling), da niemand weiß, was exakt verbaut wurde. Ein massives Problem für die Kreislaufwirtschaft.</t>
  </si>
  <si>
    <t>App zur digitalen Erfassung jedes Bauteils während der Bau- oder Sanierungsphase. Erstellt einen "digitalen Zwilling" als Materialpass für spätere Wiederverwendung (Urban Mining).</t>
  </si>
  <si>
    <t>Schließt die chronische Datenlücke zwischen Gebäudeerrichtung und Rückbau nach 50 Jahren mittels dezentraler Datenbanken.</t>
  </si>
  <si>
    <t>Madaster (eher Plattform, keine On-Site App), Concular</t>
  </si>
  <si>
    <t>React Native, GraphQL, Graph-Datenbanken (Neo4j), IPFS / Blockchain für Unveränderlichkeit</t>
  </si>
  <si>
    <t>Bauordnungen, neue EU-Gebäuderichtlinien (EPBD)</t>
  </si>
  <si>
    <t>B2B SaaS (Preis pro erfasstem Bauprojekt/Quadratmeter)</t>
  </si>
  <si>
    <t>Team Beta</t>
  </si>
  <si>
    <t>Gesetzlicher Druck für zirkuläres Bauen nimmt in der EU aktuell massiv zu. Timing ist ideal.</t>
  </si>
  <si>
    <t>urbanminer-app.de</t>
  </si>
  <si>
    <t>APP-012</t>
  </si>
  <si>
    <t>DailyEcho</t>
  </si>
  <si>
    <t>Personal Growth / Mental Wellness</t>
  </si>
  <si>
    <t xml:space="preserve">Erwin </t>
  </si>
  <si>
    <t>Berufstätige, Studierende, Menschen mit Fokus auf mentale Gesundheit</t>
  </si>
  <si>
    <t>Klassisches Journaling scheitert oft an mangelnder Konsistenz und Überforderung ("Was soll ich schreiben?"). Zudem fehlt nach dem Aufschreiben negativer Erlebnisse oft ein Lösungsansatz.</t>
  </si>
  <si>
    <t>Eine App, die täglich kontextbezogene Reflexionsfragen stellt (Learnings, Highs, Lows) und basierend auf der Sentiment-Analyse (Stimmungsbild) der Antworten maßgeschneiderte Mikro-Aktivitäten oder Content vorschlägt.</t>
  </si>
  <si>
    <t>Die Kombination aus dynamischem Abfragen und sofortiger, KI-generierter "Erste Hilfe" (z.B. eine spezifische Atemübung bei Stress, ein passender Podcast bei Motivationsverlust).</t>
  </si>
  <si>
    <t>Reflectly, stoic., Day One, Journey</t>
  </si>
  <si>
    <t>4-6 Monate</t>
  </si>
  <si>
    <t>Flutter (Frontend für iOS/Android), Python/FastAPI (Backend), LLM API (für Stimmungsanalyse &amp; Content-Matching)</t>
  </si>
  <si>
    <t>DSGVO (extrem sensibel, da psychologisches Profiling!), AI Act</t>
  </si>
  <si>
    <t>Freemium (Basis-Reflexion kostenlos, personalisierte Content-Vorschläge &amp; Deep-Dives im Premium-Abo)</t>
  </si>
  <si>
    <t>Lokale Datenverschlüsselung (On-Device) ist hier ein absolutes Muss, um das Vertrauen der Nutzer zu gewinnen.</t>
  </si>
  <si>
    <t>dailyecho-app.de</t>
  </si>
  <si>
    <t>APP-013</t>
  </si>
  <si>
    <t>WedBudget</t>
  </si>
  <si>
    <t>Daniel</t>
  </si>
  <si>
    <t>Verlobte Paare (Selbstplaner), die Wert auf Budgetkontrolle und Struktur legen</t>
  </si>
  <si>
    <t>Unvorhergesehene Kosten, unübersichtliche Excel-Listen und verstreute Anbieterkontakte führen zu Stress und Budgetüberschreitungen.</t>
  </si>
  <si>
    <t>Eine zentrale App, die dynamische Budgetkalkulation (basierend auf Region/Gästen) mit CRM-Funktionen für Dienstleister kombiniert.</t>
  </si>
  <si>
    <t>„Smart Budgeting“: Automatische Kostenschätzung basierend auf regionalen Preis-Indizes und Echtzeit-Anpassung bei Dienstleister-Zuweisung.</t>
  </si>
  <si>
    <t>https://www.google.com/search?q=WeddingPlanner.com, The Knot, klassische Excel-Templates, spezialisierte Hochzeitsagenturen</t>
  </si>
  <si>
    <t>2 Wochen</t>
  </si>
  <si>
    <t>Frontend: React Native oder Flutter (für iOS/Android Cross-Platform).
Backend: Node.js mit PostgreSQL (für komplexe Datenbeziehungen).
Dashboard: Chart.js oder D3.js für die visuelle Kostenverteilung.</t>
  </si>
  <si>
    <t>DSGVO-Konformität (besonders sensibel bei Kontakt- und Budgetdaten).</t>
  </si>
  <si>
    <t>Freemium-Modell (Basis-Budgetplaner kostenlos; Premium-Features wie Export, Team-Kollaboration oder Anbieter-Verzeichnis gegen Einmalzahlung).</t>
  </si>
  <si>
    <t>In Konzeption / Ideenphase.</t>
  </si>
  <si>
    <t>Der Erfolg steht und fällt mit der Genauigkeit der regionalen Kostendaten (Benchmarks).</t>
  </si>
  <si>
    <t>Anfrage ausstehend.</t>
  </si>
  <si>
    <t>APP-014</t>
  </si>
  <si>
    <t>FreerideParadise</t>
  </si>
  <si>
    <t>Alle Wintersportler, die in einer APP die beste Schneelage analysieren wollen</t>
  </si>
  <si>
    <t>Wenn man aus der Stadt in die Berge fährt, ist es oft ein Problem die Region zu finden, wo momentan die beste Schneelage ist</t>
  </si>
  <si>
    <t>In einer APP kann man sich die bekannstesten Skigebiete (zuerst DACH-Region) aussuchen und sofort die aktuelle Wetterlage zu abfragen in einer APP, zusätzlich kann man in die Webcams der Skigebiete abspringen</t>
  </si>
  <si>
    <t xml:space="preserve"> wePowder (Prognosen), White Risk / SnowSafe (Lawinengefahr) und SNOWHOW (Routenplanung)</t>
  </si>
  <si>
    <t>APP-015</t>
  </si>
  <si>
    <t>Backup-Pilot</t>
  </si>
  <si>
    <t>Erwin</t>
  </si>
  <si>
    <t>1+2</t>
  </si>
  <si>
    <t>APP-016</t>
  </si>
  <si>
    <t>Marketing Planer</t>
  </si>
  <si>
    <t>Manager, Agenturen, Inhouse-Teams</t>
  </si>
  <si>
    <t>Kampagnen laufen verteilt über viele Tools ohne End-to-End-Transparenz.</t>
  </si>
  <si>
    <t>Zentrale Kampagnenverwaltung mit 3-Schritt-Erstellung, Performance-Tab und Creative-Workflow.</t>
  </si>
  <si>
    <t>Kampagnenplanung + operative Ausführung + kanalbezogene KPIs in einer Oberfläche.</t>
  </si>
  <si>
    <t>HubSpot Marketing Hub, Asana, monday.com, ClickUp</t>
  </si>
  <si>
    <t>P1</t>
  </si>
  <si>
    <t>Next.js, React, Supabase, Recharts</t>
  </si>
  <si>
    <t>DSGVO, Auftragsverarbeitung, Datenminimierung</t>
  </si>
  <si>
    <t>SaaS Pro-Plan pro Workspace + Nutzerstaffel</t>
  </si>
  <si>
    <t>Implementiert</t>
  </si>
  <si>
    <t>Product + Marketing Lead</t>
  </si>
  <si>
    <t>Core-Werttreiber der App.</t>
  </si>
  <si>
    <t>momentum-marketing.app</t>
  </si>
  <si>
    <t>APP-017</t>
  </si>
  <si>
    <t>IT Architekturplanner - plan-IT</t>
  </si>
  <si>
    <t>Niko</t>
  </si>
  <si>
    <t>APP-018</t>
  </si>
  <si>
    <t>Ustafix.app</t>
  </si>
  <si>
    <t>APP-019</t>
  </si>
  <si>
    <t>KI Manager</t>
  </si>
  <si>
    <t>Maanik</t>
  </si>
  <si>
    <t>APP-020</t>
  </si>
  <si>
    <t>Verfügbarkeitsplanner - TeamRadar</t>
  </si>
  <si>
    <t xml:space="preserve">Niko </t>
  </si>
  <si>
    <t>APP-021</t>
  </si>
  <si>
    <t>Monitoring - AppMonitor</t>
  </si>
  <si>
    <t>APP-022</t>
  </si>
  <si>
    <t xml:space="preserve">Zeiterfassung - TRACE </t>
  </si>
  <si>
    <t>V2</t>
  </si>
  <si>
    <t>3 + 4</t>
  </si>
  <si>
    <t>APP-023</t>
  </si>
  <si>
    <t>Urlaubsplaner - AWAY</t>
  </si>
  <si>
    <t>APP-024</t>
  </si>
  <si>
    <t>Reality Check</t>
  </si>
  <si>
    <t>Nurzhan</t>
  </si>
  <si>
    <t>APP-025</t>
  </si>
  <si>
    <t>3+4</t>
  </si>
  <si>
    <t>APP-026</t>
  </si>
  <si>
    <t>KLAR (Knowledge Legitimacy Audit &amp; Review)</t>
  </si>
  <si>
    <t>APP-027</t>
  </si>
  <si>
    <t>Meine Wohnung(UrbanMiner, Architect X-Ray)</t>
  </si>
  <si>
    <t>APP-028</t>
  </si>
  <si>
    <t>APP-029</t>
  </si>
  <si>
    <t>APP-030</t>
  </si>
  <si>
    <t>Ladesäulen-Chaos</t>
  </si>
  <si>
    <t>Nikolaj Schefner</t>
  </si>
  <si>
    <t>Alle Autofahrer mit E-Mobilität</t>
  </si>
  <si>
    <t>Unterschiedliche Apps, Tarife für E-Auto-Laden</t>
  </si>
  <si>
    <t>All-in-one-Lösung</t>
  </si>
  <si>
    <t>Viele Einzelapps</t>
  </si>
  <si>
    <t>APP-031</t>
  </si>
  <si>
    <t>SmartCarMan</t>
  </si>
  <si>
    <t>Private Fahrzeughalter (DACH), inkl. Mehrfahrzeug-Haushalte</t>
  </si>
  <si>
    <t>Kosten, Wartungen, Belege und Fristen sind verstreut und führen zu Intransparenz, vergessenen Terminen und schwacher Nachweislage beim Verkauf</t>
  </si>
  <si>
    <t>Zentrales digitales Fahrzeugkonto mit Fahrzeugprofilen, Kosten-/Tanktracking, Service-Erinnerungen, Dashboard, Beleg-/Kommentar-Doku, CSV-Export (Pro)</t>
  </si>
  <si>
    <t>Kombination aus Kostenkontrolle + Wartungslogik + Nachweisdokumentation in einem einfachen Freemium-Flow</t>
  </si>
  <si>
    <t>Fuelio, Spritmonitor, Drivvo, Werkstatt-/OEM-Apps, Excel/Notion-Eigenlösungen</t>
  </si>
  <si>
    <t>32/40</t>
  </si>
  <si>
    <t>8.0/10</t>
  </si>
  <si>
    <t>P1 (fehlende Transparenz/Struktur in privater Fahrzeugverwaltung)</t>
  </si>
  <si>
    <t>Mittel (V1 bereits umgesetzt, Ausbau stufenweise)</t>
  </si>
  <si>
    <t>Next.js 16, TypeScript, Tailwind CSS v4, Supabase (Postgres/Auth/Storage/RLS), Vercel</t>
  </si>
  <si>
    <t>DSGVO, sichere Authentifizierung, rollenbasierter Datenzugriff (RLS), Impressum/Datenschutz/AGB</t>
  </si>
  <si>
    <t>Freemium: Free (1 Fahrzeug), Pro (unbegrenzt + CSV + erweiterte Features), geplantes Upgrade-/Abo-Modell</t>
  </si>
  <si>
    <t>In Umsetzung / V1 produktionsnah</t>
  </si>
  <si>
    <t>Daniel Moretz</t>
  </si>
  <si>
    <t>Welle 5</t>
  </si>
  <si>
    <t>KI-Features (OCR, Prognosen, Smart Reminder) als geplanter Ausbau nach stabiler Datengrundlage</t>
  </si>
  <si>
    <t>APP-032</t>
  </si>
  <si>
    <t>Vertragsmanager</t>
  </si>
  <si>
    <t xml:space="preserve">KMU im DACH-Raum (GF, Office, IT-Admin), sekundär Kanzleien/Steuerberater	</t>
  </si>
  <si>
    <t xml:space="preserve">Verträge/Abos sind verteilt, Fristen werden verpasst, unnötige Kosten und geringe Transparenz	</t>
  </si>
  <si>
    <t xml:space="preserve">Zentrale Vertragsplattform mit Fristenmanagement, Analytics, Vorlagen, Multi-Tenant und Rollen	</t>
  </si>
  <si>
    <t xml:space="preserve">DACH- und DSGVO-fokussiert, integrierte Fristlogik + Kostenanalyse + rechtliche Vorlagen in einer Lösung	</t>
  </si>
  <si>
    <t xml:space="preserve">DocuSign CLM, Ironclad, PandaDoc, Vertragsheld, Excel/SharePoint	</t>
  </si>
  <si>
    <t>8.3</t>
  </si>
  <si>
    <t>8.2</t>
  </si>
  <si>
    <t xml:space="preserve">P-01 Fragmentiertes Vertragsmanagement	</t>
  </si>
  <si>
    <t>Mittel bis hoch</t>
  </si>
  <si>
    <t>Next.js 16, TypeScript, Tailwind v4, Supabase, next-intl, Recharts</t>
  </si>
  <si>
    <t>DSGVO, AVV/DPA, LkSG/CSRD-relevante Dokumentation</t>
  </si>
  <si>
    <t>Freemium + Starter/Pro/Business Abo (später Stripe)</t>
  </si>
  <si>
    <t>MVP weitgehend umgesetzt; offen: OCR, E-Mail-Reminders, PDF/DOCX-Export, Billing</t>
  </si>
  <si>
    <t>Welle 6</t>
  </si>
  <si>
    <t>Gute technische Basis und hoher Fit; größte Hebel sind OCR-Integration und Zahlungsanbindung</t>
  </si>
  <si>
    <t>verwa.eu</t>
  </si>
  <si>
    <t>APP-033</t>
  </si>
  <si>
    <t>BedarfsPilot</t>
  </si>
  <si>
    <t>Handwerks-, Service- und Pflegebetriebe mit 5-250 Mitarbeitenden</t>
  </si>
  <si>
    <t>Bedarfe gehen in WhatsApp, Excel oder E-Mail verloren; Freigaben und Bestellungen sind unstrukturiert</t>
  </si>
  <si>
    <t>Mobile-first SaaS für Bedarfsmeldung, Freigabe, Bestellung, Katalog, Standorte und Reporting</t>
  </si>
  <si>
    <t>Sehr einfache mobile Bedarfserfassung direkt am Arbeitsplatz statt schwergewichtigem ERP-Workflow</t>
  </si>
  <si>
    <t>Excel, WhatsApp, Odoo, ERP-Module, einfache Einkaufstools</t>
  </si>
  <si>
    <t>8.0</t>
  </si>
  <si>
    <t>Next.js 16, TypeScript, Tailwind v4, Supabase, next-intl</t>
  </si>
  <si>
    <t>DSGVO, Rollen-/Rechtekonzept, Mandantentrennung, rechtssichere Pflichtseiten</t>
  </si>
  <si>
    <t>SaaS-Abomodell pro Organisation/Plan</t>
  </si>
  <si>
    <t>V1 weitgehend umgesetzt</t>
  </si>
  <si>
    <t>Welle 7</t>
  </si>
  <si>
    <t>Starke V1-Basis; Ausbaupotenzial bei KI-Empfehlungen, E-Mail und Uploads</t>
  </si>
  <si>
    <t>bedarfspilot.de</t>
  </si>
  <si>
    <t>APP-034</t>
  </si>
  <si>
    <t>Sirin</t>
  </si>
  <si>
    <t>Dienstleistungsbetriebe mit Terminbuchung (Friseur, Barber, Kosmetik, Physio, Yoga) sowie Endkunden</t>
  </si>
  <si>
    <t>Fragmentierte Terminverwaltung, geringe Online-Sichtbarkeit, hoher manueller Buchungs-/Kommunikationsaufwand</t>
  </si>
  <si>
    <t>Multi-Tenant SaaS mit öffentlicher Buchungsseite, Dashboard, Suche/Karte, Favoriten, Benachrichtigungen</t>
  </si>
  <si>
    <t>Vertikale Lösung für lokale Serviceanbieter: Buchung + Discovery + öffentliches Profil + Multi-Tenant in einer Plattform</t>
  </si>
  <si>
    <t>Treatwell, Fresha, Shore, Planity, regionale Anbieter</t>
  </si>
  <si>
    <t>P-01</t>
  </si>
  <si>
    <t>Next.js 16, TypeScript, Tailwind v4, Supabase, next-intl, Leaflet/OpenStreetMap</t>
  </si>
  <si>
    <t>DSGVO, Impressumspflicht, Datenschutz/AGB, Cookie-/Tracking-Compliance</t>
  </si>
  <si>
    <t>B2B SaaS-Abo pro Organisation + Add-ons</t>
  </si>
  <si>
    <t>In Umsetzung (V1 produktionsnah)</t>
  </si>
  <si>
    <t>Welle 8</t>
  </si>
  <si>
    <t>Kernmodule live; offene Ausbaustufen: Stripe, Reminder-Worker, Kalender-Sync</t>
  </si>
  <si>
    <t>APP-035</t>
  </si>
  <si>
    <t>TreffPunkt</t>
  </si>
  <si>
    <t>Privatpersonen für Gruppenevents 5–50 Teilnehmer (Klassentreffen, Freunde, Familie)</t>
  </si>
  <si>
    <t>WhatsApp-Organisation ist unstrukturiert: Termin-/Aufgaben-/Budget-Chaos, Infos gehen unter</t>
  </si>
  <si>
    <t>Mini-Event-Manager mit Terminvoting, Aufgaben, Budget/Kostenaufteilung, zentraler Eventseite, Remindern</t>
  </si>
  <si>
    <t>Kombination aus Termin, Aufgaben, Budget, Rollen, Übersicht und EU-Hosting in einem privaten Tool</t>
  </si>
  <si>
    <t>WhatsApp, Doodle, Splid, Eventbrite, Google Forms, SignUpGenius, Notion/Trello</t>
  </si>
  <si>
    <t>nicht angegeben</t>
  </si>
  <si>
    <t>Mittel (MVP 5 Werktage)</t>
  </si>
  <si>
    <t>Next.js, TypeScript, Tailwind, shadcn/ui, Supabase, Resend, Maps API, Calendar API, Stripe</t>
  </si>
  <si>
    <t>DSGVO bei Kontaktdaten; PSD2 wird umgangen, da nur Kostenaufteilung ohne Zahlungsdienst</t>
  </si>
  <si>
    <t>Freemium + Premium + Affiliate/Partner</t>
  </si>
  <si>
    <t>Zur Freigabe eingereicht</t>
  </si>
  <si>
    <t>Offen, Welle 9</t>
  </si>
  <si>
    <t>Sehr hoher Nutzwert bei wiederkehrendem Alltagsproblem</t>
  </si>
  <si>
    <t>APP-036</t>
  </si>
  <si>
    <t>BelegBox</t>
  </si>
  <si>
    <t>Verbraucher und Selbstständige im DACH-Raum (Belegarchiv, Garantie, Steuer)</t>
  </si>
  <si>
    <t>Kassenzettel verblassen, Belege sind verteilt/nicht auffindbar, Steuer- und Garantie-Nachweise fehlen</t>
  </si>
  <si>
    <t>Browserbasierte Beleg-App mit Foto-Erfassung, lokaler Ablage, Suche/Filter, Garantie-Tracker, Export</t>
  </si>
  <si>
    <t>Privacy-first: V1 lokal im Browser ohne Cloud-Zwang + dedizierter Beleg-Workflow</t>
  </si>
  <si>
    <t>Expensify, 1Tap Receipts, Klarna Receipts, lexoffice/sevDesk, Google/Apple Fotos</t>
  </si>
  <si>
    <t>Niedrig (MVP in 5 Werktagen)</t>
  </si>
  <si>
    <t>Next.js/SvelteKit, TypeScript, Tailwind, IndexedDB, idb, pdf-lib, JSZip, Stripe</t>
  </si>
  <si>
    <t>DSGVO-relevant; steuerliche Aufbewahrungskontexte; in V1 geringe Compliance-Last durch lokale Speicherung</t>
  </si>
  <si>
    <t>Freemium, später Pro (OCR, Cloud-Sync, DATEV)</t>
  </si>
  <si>
    <t>Sehr guter DACH-Fit über Datenschutz und Alltagsnutzen</t>
  </si>
  <si>
    <t>belegnest.de</t>
  </si>
  <si>
    <t>APP-037</t>
  </si>
  <si>
    <t>KinderPartyPlaner</t>
  </si>
  <si>
    <t>Eltern mit Kindern 3–12 Jahre (primär DACH), sekundär Großeltern/Kita</t>
  </si>
  <si>
    <t>Planungsstress, Informationschaos (Pinterest/Blogs), fehlende Mengen- und Ablaufplanung</t>
  </si>
  <si>
    <t>5-Minuten-Wizard erzeugt kompletten Partyplan (Ablauf, Spiele, Einkauf, Einladung, PDF/WhatsApp)</t>
  </si>
  <si>
    <t>End-to-end Kindergeburtstags-Workflow ohne Account statt fragmentierter Einzeltools</t>
  </si>
  <si>
    <t>Pinterest, Mama-Blogs, Canva, Kindergeburtstag-Planen.de, ChatGPT</t>
  </si>
  <si>
    <t>7.00</t>
  </si>
  <si>
    <t>Niedrig (2–3 Wochen; MVP 5 Werktage)</t>
  </si>
  <si>
    <t>Next.js/Astro, TypeScript, Tailwind, pdf-lib, html2canvas/dom-to-image, Stripe</t>
  </si>
  <si>
    <t>Gering; in V1 keine Kinderdaten nötig, minimale DSGVO-Anforderungen</t>
  </si>
  <si>
    <t>Einmalkauf/Pro-Pakete, Affiliate-Potenzial</t>
  </si>
  <si>
    <t>Starkes virales Potenzial über geteilte Einladungen</t>
  </si>
  <si>
    <t>geburtstagspilot.de</t>
  </si>
  <si>
    <t>APP-038</t>
  </si>
  <si>
    <t>MeineZielcollage</t>
  </si>
  <si>
    <t>Digital-affine Erwachsene 25–45, plus Coaches/Studierende (sekundär)</t>
  </si>
  <si>
    <t>Vision Boards sind statisch, kein Tracking/Meilenstein-System, Motivation bricht ab</t>
  </si>
  <si>
    <t>Interaktive Zielkarten + Tracking + Gamification + KI-Vorschläge/Erinnerungen</t>
  </si>
  <si>
    <t>Kombination aus visuellem Vision Board, Zielsystem, Gamification und KI in einem Produkt</t>
  </si>
  <si>
    <t>Perfectly Happy, Vision Board App, Habitica, Streaks, Fabulous, Notion, Pinterest, Canva, Goalify</t>
  </si>
  <si>
    <t>Mittel (MVP 5 Werktage, höheres UX-Polishing)</t>
  </si>
  <si>
    <t>Next.js (App Router), TypeScript, Tailwind, shadcn/ui, Supabase, OpenAI/Mistral, Stripe, Resend</t>
  </si>
  <si>
    <t>DSGVO (persönliche Zieldaten), EU-Hosting; EU AI Act-Hinweise für KI-Inhalte</t>
  </si>
  <si>
    <t>Freemium + Abo + In-App-Käufe + später B2B-Coach-Features</t>
  </si>
  <si>
    <t>Höheres Differenzierungspotenzial, aber härterer Markt</t>
  </si>
  <si>
    <t>APP-039</t>
  </si>
  <si>
    <t>Meine Wohnung</t>
  </si>
  <si>
    <t>PropTech</t>
  </si>
  <si>
    <t>Yash Bhesaniya</t>
  </si>
  <si>
    <t>3 &amp; 4</t>
  </si>
  <si>
    <t>Vermieter, Hausverwaltungen, Architekten, Handwerker</t>
  </si>
  <si>
    <t>Gebäude- und Wohnungsdaten fragmentiert, Zusammenarbeit ineffizient</t>
  </si>
  <si>
    <t>Digitale 3D-Objektsicht mit Rollenrechten, Ressourcen-Tracking und X-Ray-Ansichten</t>
  </si>
  <si>
    <t>Kombination aus kollaborativer 3D-Ansicht und operativem Gebäudemanagement</t>
  </si>
  <si>
    <t>PlanRadar, Vermietet.de, iDWELL, Objego</t>
  </si>
  <si>
    <t>Web-SaaS Plattform (3D-Editor, Rollen/Rechte)</t>
  </si>
  <si>
    <t>DSGVO, Mietdokumentation</t>
  </si>
  <si>
    <t>Light/Pro/Enterprise Abo + Seat-Modell</t>
  </si>
  <si>
    <t>Welle 3&amp;4</t>
  </si>
  <si>
    <t>3D-Editor, UrbanMiner, Architect X-Ray</t>
  </si>
  <si>
    <t>meine-wohnung.vercel.app</t>
  </si>
  <si>
    <t>APP-040</t>
  </si>
  <si>
    <t>backofficeassistent</t>
  </si>
  <si>
    <t>GovTech / Pflege</t>
  </si>
  <si>
    <t>Bürger, Angehörige, Pflegehaushalte</t>
  </si>
  <si>
    <t>Behördenbriefe und Arztberichte schwer verständlich, Fristen werden verpasst</t>
  </si>
  <si>
    <t>KI-Analyse von Dokumenten mit Fristenerkennung, Handlungsschritten und PDF-Antwortschreiben</t>
  </si>
  <si>
    <t>Spezialisierung auf Behörden- und Pflegekontext inkl. Pflegetagebuch-Assistent</t>
  </si>
  <si>
    <t>Smartlaw, RightNow, FragDenStaat</t>
  </si>
  <si>
    <t>Next.js 16, TypeScript, Tailwind CSS v4, Supabase, PDF-Parsing/Export</t>
  </si>
  <si>
    <t>DSGVO, sensible Gesundheitsdaten</t>
  </si>
  <si>
    <t>Freemium + Pro Abo (10 EUR/Monat)</t>
  </si>
  <si>
    <t>Starker Nutzen bei Fristen- und Formularprozessen</t>
  </si>
  <si>
    <t>backofficeassistent.eu</t>
  </si>
  <si>
    <t>APP-041</t>
  </si>
  <si>
    <t>KI-Prüfungstrainer</t>
  </si>
  <si>
    <t>EdTech</t>
  </si>
  <si>
    <t>Schüler, Studierende, Weiterbildungslernende</t>
  </si>
  <si>
    <t>Lernmaterialien werden ineffizient genutzt, fehlende prüfungsnahe Fragen mit Quellenbezug</t>
  </si>
  <si>
    <t>Upload von PDFs, KI generiert prüfungsähnliche Fragen und bewertet Antworten quellengebunden</t>
  </si>
  <si>
    <t>Quellengebundene Antworten ohne Halluzinationen, Roh-PDF-Löschung nach Verarbeitung</t>
  </si>
  <si>
    <t>Quizlet, StudySmarter, Knowunity, Anki</t>
  </si>
  <si>
    <t>Next.js 16, TypeScript, Tailwind CSS v4, Supabase, OpenRouter API, next-intl</t>
  </si>
  <si>
    <t>DSGVO, Urheberrecht</t>
  </si>
  <si>
    <t>Freemium + Pro Abo (9,90 EUR/Monat)</t>
  </si>
  <si>
    <t>Exam-Mode und Quellenzitate als Kernnutzen</t>
  </si>
  <si>
    <t>ki-prufungstrainer.vercel.app</t>
  </si>
  <si>
    <t>APP-042</t>
  </si>
  <si>
    <t>WG-Planer</t>
  </si>
  <si>
    <t>Consumer SaaS / Wohnen</t>
  </si>
  <si>
    <t>WG-Bewohner, Studierende, junge Berufstätige</t>
  </si>
  <si>
    <t>WG-Organisation über Chat und Excel erzeugt Konflikte bei Geld, Putzplan und Einkäufen</t>
  </si>
  <si>
    <t>Zentrale WG-App mit Ausgaben-Tracker, Putzplan, Einkaufsliste, Schwarzem Brett und Auszugs-Rechner</t>
  </si>
  <si>
    <t>All-in-one WG-Operations statt Einzellösungen, inklusive fairem Auszugsabschluss</t>
  </si>
  <si>
    <t>Splitwise, Flatastic, Bring!, Nipto</t>
  </si>
  <si>
    <t>Next.js 16, TypeScript, Tailwind CSS v4, Supabase, next-intl</t>
  </si>
  <si>
    <t>DSGVO</t>
  </si>
  <si>
    <t>Freemium + Pro Abo (4,99 EUR/Monat)</t>
  </si>
  <si>
    <t>Produktiv erreichbar,</t>
  </si>
  <si>
    <t>wgplaner.vercel.app</t>
  </si>
  <si>
    <t>APP-043</t>
  </si>
  <si>
    <t>CardScan</t>
  </si>
  <si>
    <t>SalesTech / Networking</t>
  </si>
  <si>
    <t>Vertriebsteams, Berater, Messe-Netzwerker</t>
  </si>
  <si>
    <t>Papier-Visitenkarten gehen verloren, manuelle Übertragung fehlerhaft</t>
  </si>
  <si>
    <t>KI-OCR-Scan, digitale Karten, QR-Teilen, CRM-Export</t>
  </si>
  <si>
    <t>Hohe OCR-Genauigkeit, Offline-Erfassung, DSGVO-Fokus</t>
  </si>
  <si>
    <t>CamCard, Haystack, ABBYY</t>
  </si>
  <si>
    <t>Next.js 16, TypeScript, Tailwind CSS v4, Supabase, Tesseract OCR</t>
  </si>
  <si>
    <t>Free, Pro (9 EUR), Team (29 EUR)</t>
  </si>
  <si>
    <t>Welle 10</t>
  </si>
  <si>
    <t>Produktiv mit klaren Preisstufen und CRM-Export</t>
  </si>
  <si>
    <t>cardscan-seven.vercel.app</t>
  </si>
  <si>
    <t>APP-044</t>
  </si>
  <si>
    <t>GhostAccounts</t>
  </si>
  <si>
    <t>APP-045</t>
  </si>
  <si>
    <t>Elias</t>
  </si>
  <si>
    <t>APP-046</t>
  </si>
  <si>
    <t>APP-047</t>
  </si>
  <si>
    <t>Stand 16.05.2026</t>
  </si>
  <si>
    <t>Projektname</t>
  </si>
  <si>
    <t>Verantwortlicher</t>
  </si>
  <si>
    <t>Status Wellenabschluss</t>
  </si>
  <si>
    <t>Status aktuell</t>
  </si>
  <si>
    <t>Landingpage</t>
  </si>
  <si>
    <t>Domäne (Strato)</t>
  </si>
  <si>
    <t>Ablage (OneDrive)</t>
  </si>
  <si>
    <t>Handbuch</t>
  </si>
  <si>
    <t>Marketingkonzept</t>
  </si>
  <si>
    <t>Supabase Projektname</t>
  </si>
  <si>
    <t>Vercel Projektname</t>
  </si>
  <si>
    <t>Git</t>
  </si>
  <si>
    <t>1 
(KW11)</t>
  </si>
  <si>
    <t>Momentum Marketing</t>
  </si>
  <si>
    <t>Ziel nicht erreicht</t>
  </si>
  <si>
    <t>https://wamocon.github.io/momentum_marketing_landingpage/</t>
  </si>
  <si>
    <t>https://www.momentum-marketing.app/</t>
  </si>
  <si>
    <t>marketing_powerhouse</t>
  </si>
  <si>
    <t>Architekten Planer</t>
  </si>
  <si>
    <t>Plan-it</t>
  </si>
  <si>
    <t>wamocon.github.io/plan-it_landing_</t>
  </si>
  <si>
    <t>plan-IT</t>
  </si>
  <si>
    <t>plan-it</t>
  </si>
  <si>
    <t>Backup Planer</t>
  </si>
  <si>
    <t>urbackup?</t>
  </si>
  <si>
    <t>http://info.backuppilot.app/</t>
  </si>
  <si>
    <t>https://backuppilot.app/login</t>
  </si>
  <si>
    <t>BackupPilot</t>
  </si>
  <si>
    <t>urbackup</t>
  </si>
  <si>
    <t>backup_planner</t>
  </si>
  <si>
    <t>Ustafix</t>
  </si>
  <si>
    <t>Ziel erreicht</t>
  </si>
  <si>
    <t>ustafix-landing-page.vercel.app</t>
  </si>
  <si>
    <t>ustafix.app</t>
  </si>
  <si>
    <t>KI-Manager-LMS</t>
  </si>
  <si>
    <t>2
(KW12)</t>
  </si>
  <si>
    <t>Team Radar</t>
  </si>
  <si>
    <t>TeamRadar</t>
  </si>
  <si>
    <t>Ustafix V2</t>
  </si>
  <si>
    <t>Maanik/Yash</t>
  </si>
  <si>
    <t>verschoben</t>
  </si>
  <si>
    <t>realityCheck</t>
  </si>
  <si>
    <t>3 
(KW13)</t>
  </si>
  <si>
    <t>Skillmapper</t>
  </si>
  <si>
    <t>Kompetenzkompass</t>
  </si>
  <si>
    <t>https://wamocon.github.io/kompetenzkompass_lp/</t>
  </si>
  <si>
    <t>https://www.kompetenzkompass.app/</t>
  </si>
  <si>
    <t>skillmapper</t>
  </si>
  <si>
    <t>Daily Echo</t>
  </si>
  <si>
    <t>https://wamocon.github.io/dailyecho_lp/</t>
  </si>
  <si>
    <t>https://www.dailyecho.app/login</t>
  </si>
  <si>
    <t>daily_echo</t>
  </si>
  <si>
    <t xml:space="preserve">AWAY </t>
  </si>
  <si>
    <t>AWAY_v1</t>
  </si>
  <si>
    <t>away</t>
  </si>
  <si>
    <t xml:space="preserve">Trace </t>
  </si>
  <si>
    <t>TRACE_v1</t>
  </si>
  <si>
    <t>trace</t>
  </si>
  <si>
    <t>AI SafeGuard</t>
  </si>
  <si>
    <t>ai_safeguard</t>
  </si>
  <si>
    <t>Meine Wohnung App</t>
  </si>
  <si>
    <t>wamocon.github.io/meine_wohnung</t>
  </si>
  <si>
    <t>meine_wohnung</t>
  </si>
  <si>
    <t>Keine Landingpage notwendig</t>
  </si>
  <si>
    <t>WMC-Anforderungsportal</t>
  </si>
  <si>
    <t>4
(KW14)</t>
  </si>
  <si>
    <t>https://wamocon.github.io/hochzeitsrechner_lp/</t>
  </si>
  <si>
    <t>Hochzeitsrechner(ARBEITSTITEL)</t>
  </si>
  <si>
    <t>wedbudget</t>
  </si>
  <si>
    <t>AWAY V2</t>
  </si>
  <si>
    <t>TRACE V2</t>
  </si>
  <si>
    <t>KLAR</t>
  </si>
  <si>
    <t>Energieberater/Saniatlas</t>
  </si>
  <si>
    <t>energy</t>
  </si>
  <si>
    <t>5
(KW15)</t>
  </si>
  <si>
    <t>KLAR V2</t>
  </si>
  <si>
    <t>bedingt erreicht</t>
  </si>
  <si>
    <t>CarMan</t>
  </si>
  <si>
    <t>wamocon.github.io/carman_lp/</t>
  </si>
  <si>
    <t>01_Freigabe erteilt_CarMan</t>
  </si>
  <si>
    <t>carman</t>
  </si>
  <si>
    <t>Universal Inventory Manager</t>
  </si>
  <si>
    <t>Universal_Inventory_Manager</t>
  </si>
  <si>
    <t>Team Radar V2</t>
  </si>
  <si>
    <t>BFSG Audit Tool</t>
  </si>
  <si>
    <t>6
(KW16)</t>
  </si>
  <si>
    <t>VerWa (Vertragswächterin)</t>
  </si>
  <si>
    <t>Wamocon.github.io/vertragsmanage</t>
  </si>
  <si>
    <t>http://verwa.eu/</t>
  </si>
  <si>
    <t>02_Freigabe erteilt_02_Vertragsmanager</t>
  </si>
  <si>
    <t>vertragsmanager</t>
  </si>
  <si>
    <t>ladeKompass</t>
  </si>
  <si>
    <t>01_Freigabe erteilt_LadesäulenChaos</t>
  </si>
  <si>
    <t>Max</t>
  </si>
  <si>
    <t>wamocon.github.io/backofficeassiste</t>
  </si>
  <si>
    <t>03_Freigabe erteilt_Bürokratie-Copilot</t>
  </si>
  <si>
    <t>7
(KW17)</t>
  </si>
  <si>
    <t>Bedarfspilot</t>
  </si>
  <si>
    <t>Wamocon.github.io/bedarfspilot_lp/</t>
  </si>
  <si>
    <t>http://bedarfspilot.de/</t>
  </si>
  <si>
    <t>01_Freigabe erteilt_BedarfsPilot</t>
  </si>
  <si>
    <t>bedarfspilot</t>
  </si>
  <si>
    <t>Wamocon.github.io/KI-Prufungstrain</t>
  </si>
  <si>
    <t>05_Freigabe erteilt_KI-Prüfungstrainer</t>
  </si>
  <si>
    <t>ki-prufungstrainer</t>
  </si>
  <si>
    <t>ARIA</t>
  </si>
  <si>
    <t>LocalForge</t>
  </si>
  <si>
    <t>Leon</t>
  </si>
  <si>
    <t>Wamocon.github.io/LocalForge_lp/</t>
  </si>
  <si>
    <t>06_Freigabe erteilt_LocalForge</t>
  </si>
  <si>
    <t>localforge</t>
  </si>
  <si>
    <t>8
(KW18)</t>
  </si>
  <si>
    <t>Wartezeit-Wächter</t>
  </si>
  <si>
    <t>Wamocon.github.io/wartezeit-waechte</t>
  </si>
  <si>
    <t>07_Freigabe erteilt_Wartezeit-Wächter</t>
  </si>
  <si>
    <t>wartezeit-waechter</t>
  </si>
  <si>
    <t>Wamocon.github.io/wg-planer_lp/</t>
  </si>
  <si>
    <t>04_Freigabe erteilt_WG-Planer</t>
  </si>
  <si>
    <t>wg-planer</t>
  </si>
  <si>
    <t>KI-Trainer</t>
  </si>
  <si>
    <t>9 
(KW19)</t>
  </si>
  <si>
    <t>Vereinsping</t>
  </si>
  <si>
    <t>Wamocon.github.io/vereinsping_lp/</t>
  </si>
  <si>
    <t>freigegeben_02_VereinsPing</t>
  </si>
  <si>
    <t>vereinsping</t>
  </si>
  <si>
    <t>Wamocon.github.io/ghostaccounts_lp/</t>
  </si>
  <si>
    <t>freigegeben_03_GhostAccounts</t>
  </si>
  <si>
    <t>ghostaccounts</t>
  </si>
  <si>
    <t>KitaRadar</t>
  </si>
  <si>
    <t>wamocon.github.io/kitaradar_lp/</t>
  </si>
  <si>
    <t>freigegeben_KitaRadar</t>
  </si>
  <si>
    <t>kitaradar</t>
  </si>
  <si>
    <t>SchufaCleaner</t>
  </si>
  <si>
    <t>Wamocon.github.io/schufacleaner_lp/</t>
  </si>
  <si>
    <t>freigegeben_SchufaCleaner</t>
  </si>
  <si>
    <t>schufacleaner</t>
  </si>
  <si>
    <t>Wamocon.github.io/meinezielcollage</t>
  </si>
  <si>
    <t>freigegeben_09_MeineZielcollage</t>
  </si>
  <si>
    <t>meinezielcollage</t>
  </si>
  <si>
    <t>Wamocon.github.io/Sirin_lp/</t>
  </si>
  <si>
    <t>01_Freigegeben_Sirin</t>
  </si>
  <si>
    <t>10 (KW20)</t>
  </si>
  <si>
    <t>Stammfeuer</t>
  </si>
  <si>
    <t>01_Stammfeuer</t>
  </si>
  <si>
    <t>stammfeuer</t>
  </si>
  <si>
    <t>GrundsteuerPruefer</t>
  </si>
  <si>
    <t>02_Grundsteuerprüfer</t>
  </si>
  <si>
    <t>grundsteuerPruefer</t>
  </si>
  <si>
    <t>Rideproof</t>
  </si>
  <si>
    <t>07_RideProof</t>
  </si>
  <si>
    <t>rideproof</t>
  </si>
  <si>
    <t>makeartalanya</t>
  </si>
  <si>
    <t>04_Make Art Studio</t>
  </si>
  <si>
    <t>makeartalanya-app</t>
  </si>
  <si>
    <t>Parzella</t>
  </si>
  <si>
    <t>Wamocon.github.io/parzella_lp/</t>
  </si>
  <si>
    <t>10_SchreberKlar</t>
  </si>
  <si>
    <t>parzella</t>
  </si>
  <si>
    <t>belegbox</t>
  </si>
  <si>
    <t>freigegeben_07_BelegBox</t>
  </si>
  <si>
    <t>buyright</t>
  </si>
  <si>
    <t>08_BuyRight AI</t>
  </si>
  <si>
    <t>BuyRight-AI</t>
  </si>
  <si>
    <t>auktivo</t>
  </si>
  <si>
    <t>Wamocon.github.io/auktivo_lp/</t>
  </si>
  <si>
    <t>09_ZwangsVersteigerungsKlar</t>
  </si>
  <si>
    <t>cardscan</t>
  </si>
  <si>
    <t>Wamocon.github.io/cardscan_lp/</t>
  </si>
  <si>
    <t>06_CardScan</t>
  </si>
  <si>
    <t>Treffpunkt</t>
  </si>
  <si>
    <t>Wamocon.github.io/treffpunkt_lp/</t>
  </si>
  <si>
    <t>freigegeben_06_TreffPunkt</t>
  </si>
  <si>
    <t>treffpunkt</t>
  </si>
  <si>
    <t>freigegeben_08_KinderPartyPlaner</t>
  </si>
  <si>
    <t>kinderpartyplaner</t>
  </si>
  <si>
    <t>Täglicher Status zu den Apps</t>
  </si>
  <si>
    <t>ID</t>
  </si>
  <si>
    <t>Skillmapping</t>
  </si>
  <si>
    <t xml:space="preserve">Zeiterfassung </t>
  </si>
  <si>
    <t>Urlaubsplaner</t>
  </si>
  <si>
    <t>Linkedin&amp;Instagram Automation</t>
  </si>
  <si>
    <t>WAMOCON CRM System</t>
  </si>
  <si>
    <t>Thema</t>
  </si>
  <si>
    <t>Problem-Name</t>
  </si>
  <si>
    <t>Kurzbeschreibung</t>
  </si>
  <si>
    <t>DE-Relevanz (1-4)</t>
  </si>
  <si>
    <t>Int. Auswirkung</t>
  </si>
  <si>
    <t>Bestehende Lösungen</t>
  </si>
  <si>
    <t>Lösungslücke</t>
  </si>
  <si>
    <t>Wettbewerb (1-10)</t>
  </si>
  <si>
    <t>Opportunity Rang</t>
  </si>
  <si>
    <t>Quelle/Referenz</t>
  </si>
  <si>
    <t>Behördendigitalisierung</t>
  </si>
  <si>
    <t>E-Government Rückstand</t>
  </si>
  <si>
    <t>Deutschland im EU-Vergleich hinten, föderale Strukturen bremsen</t>
  </si>
  <si>
    <t>Deutschland-spezifisch</t>
  </si>
  <si>
    <t>Einzelprojekte</t>
  </si>
  <si>
    <t>Standardisierte Kommune-Software fehlt</t>
  </si>
  <si>
    <t>bidt 2025</t>
  </si>
  <si>
    <t>OZG-Umsetzung</t>
  </si>
  <si>
    <t>Home Care</t>
  </si>
  <si>
    <t>Häusliche Pflege Technologie</t>
  </si>
  <si>
    <t>Patienten kämpfen mit Bedienung von Heimgeräten, Fehler unentdeckt</t>
  </si>
  <si>
    <t>Industrieländer</t>
  </si>
  <si>
    <t>Wenige spezialisierte Apps</t>
  </si>
  <si>
    <t>Integrierte Überwachungs- und Support-Plattform fehlt</t>
  </si>
  <si>
    <t>Healthcare IT News 2025</t>
  </si>
  <si>
    <t>Demografischer Wandel</t>
  </si>
  <si>
    <t>Bürgerservices</t>
  </si>
  <si>
    <t>Digitale Bürgeranträge</t>
  </si>
  <si>
    <t>Bürger müssen persönlich aufs Amt für viele Anträge</t>
  </si>
  <si>
    <t>Deutschland</t>
  </si>
  <si>
    <t>Fragmentierte Portale</t>
  </si>
  <si>
    <t>Einheitliches Bürgerportal mit KI-Assistenz fehlt</t>
  </si>
  <si>
    <t>Computer Weekly 2025</t>
  </si>
  <si>
    <t>eID nutzen</t>
  </si>
  <si>
    <t>IoT Baustelle</t>
  </si>
  <si>
    <t>Baustellendigitalisierung</t>
  </si>
  <si>
    <t>62% sehen IoT-Potenzial, nur 10% haben Fähigkeiten</t>
  </si>
  <si>
    <t>DACH</t>
  </si>
  <si>
    <t>BIM-Tools (komplex)</t>
  </si>
  <si>
    <t>Einfache IoT-Plattform für Baustellen fehlt</t>
  </si>
  <si>
    <t>PwC Baustudie 2025</t>
  </si>
  <si>
    <t>Plug &amp; Play IoT</t>
  </si>
  <si>
    <t>Diagnostik</t>
  </si>
  <si>
    <t>Diagnostische Fehler</t>
  </si>
  <si>
    <t>795.000 schwere Schäden jährlich durch Fehldiagnosen, 371.000 Todesfälle</t>
  </si>
  <si>
    <t>Weltweit kritisch</t>
  </si>
  <si>
    <t>Vereinzelte KI-Tools</t>
  </si>
  <si>
    <t>Integrierte KI-Diagnostik für Hausärzte fehlt</t>
  </si>
  <si>
    <t>BMJ Quality &amp; Safety 2023</t>
  </si>
  <si>
    <t>Regulatorische Hürden (MDR)</t>
  </si>
  <si>
    <t>Agentic AI</t>
  </si>
  <si>
    <t>KI-Agenten Governance</t>
  </si>
  <si>
    <t>40% Agentic-AI-Projekte scheitern bis 2027</t>
  </si>
  <si>
    <t>Global</t>
  </si>
  <si>
    <t>Frühe Tools</t>
  </si>
  <si>
    <t>KI-Agenten-Governance-Framework fehlt</t>
  </si>
  <si>
    <t>Gartner 2025</t>
  </si>
  <si>
    <t>Neues Feld</t>
  </si>
  <si>
    <t>ESG-Compliance Gebäude</t>
  </si>
  <si>
    <t>88% PropTech-Investments in Energieeffizienz, Lösungslücke bei Bestand</t>
  </si>
  <si>
    <t>EU-weit (CSRD)</t>
  </si>
  <si>
    <t>Vereinzelte Tools</t>
  </si>
  <si>
    <t>Ganzheitliche ESG-Management-Plattform für Bestand fehlt</t>
  </si>
  <si>
    <t>PropTech Global Trends 2024</t>
  </si>
  <si>
    <t>CSRD-Pflicht ab 2025</t>
  </si>
  <si>
    <t>Energiemanagement</t>
  </si>
  <si>
    <t>Energiekosten KMU</t>
  </si>
  <si>
    <t>Energiepreise belasten KMU, fehlende Transparenz</t>
  </si>
  <si>
    <t>EU</t>
  </si>
  <si>
    <t>Smart Meter (B2C)</t>
  </si>
  <si>
    <t>Energiemanagement-Plattform für KMU fehlt</t>
  </si>
  <si>
    <t>WEF 2025</t>
  </si>
  <si>
    <t>CSRD-Reporting</t>
  </si>
  <si>
    <t>Precision Farming</t>
  </si>
  <si>
    <t>Digitalisierung Höfe</t>
  </si>
  <si>
    <t>Kleine Höfe haben keinen Zugang zu Smart Farming</t>
  </si>
  <si>
    <t>Große Anbieter (John Deere)</t>
  </si>
  <si>
    <t>Bezahlbare IoT-Lösung für Kleinbauern fehlt</t>
  </si>
  <si>
    <t>AgTech 2025</t>
  </si>
  <si>
    <t>Subventionen</t>
  </si>
  <si>
    <t>Lebensmittelverschwendung</t>
  </si>
  <si>
    <t>Food Waste</t>
  </si>
  <si>
    <t>30-40% Lebensmittel werden verschwendet</t>
  </si>
  <si>
    <t>Too Good To Go (B2C)</t>
  </si>
  <si>
    <t>B2B Food-Waste-Plattform für Produzenten fehlt</t>
  </si>
  <si>
    <t>Raconteur 2025</t>
  </si>
  <si>
    <t>ESG-Relevanz</t>
  </si>
  <si>
    <t>Datensicherheit</t>
  </si>
  <si>
    <t>Healthcare Cyberangriffe</t>
  </si>
  <si>
    <t>Größte Datenpanne: 100 Mio. Patienten betroffen (Change Healthcare)</t>
  </si>
  <si>
    <t>Standard IT-Security</t>
  </si>
  <si>
    <t>Healthcare-spezifische Sicherheitsplattform fehlt</t>
  </si>
  <si>
    <t>HIPAA Journal 2025</t>
  </si>
  <si>
    <t>Kritische Infrastruktur</t>
  </si>
  <si>
    <t>Systemintegration</t>
  </si>
  <si>
    <t>Daten-Silos</t>
  </si>
  <si>
    <t>Fragmentierte Legacy-Systeme, fehlende gemeinsame Datensprache</t>
  </si>
  <si>
    <t>SAP, Oracle (komplex)</t>
  </si>
  <si>
    <t>Middleware für KMU-Logistik fehlt</t>
  </si>
  <si>
    <t>Logistics Viewpoints 2025</t>
  </si>
  <si>
    <t>Interoperabilität</t>
  </si>
  <si>
    <t>Lehrerfortbildung</t>
  </si>
  <si>
    <t>Digitale Kompetenz Lehrer</t>
  </si>
  <si>
    <t>Nur 18% Lehrer "sehr kompetent" in EdTech</t>
  </si>
  <si>
    <t>Vereinzelte Kurse</t>
  </si>
  <si>
    <t>Praxisnahe Micro-Learning-Plattform für Lehrer fehlt</t>
  </si>
  <si>
    <t>EdTech Magazine 2025</t>
  </si>
  <si>
    <t>Train the Trainer</t>
  </si>
  <si>
    <t>Mentale Gesundheit</t>
  </si>
  <si>
    <t>Studentische Psyche</t>
  </si>
  <si>
    <t>60% Studenten mit Depression unbehandelt</t>
  </si>
  <si>
    <t>Teletherapie wächst</t>
  </si>
  <si>
    <t>Präventive KI-gestützte Früherkennung fehlt</t>
  </si>
  <si>
    <t>Higher Ed 2025</t>
  </si>
  <si>
    <t>Burnout-Prävention</t>
  </si>
  <si>
    <t>CO2-Tracking</t>
  </si>
  <si>
    <t>Carbon Footprint Messung</t>
  </si>
  <si>
    <t>IT verursacht 3% globaler Emissionen</t>
  </si>
  <si>
    <t>Global (CSRD EU)</t>
  </si>
  <si>
    <t>Enterprise-Tools</t>
  </si>
  <si>
    <t>Automatisiertes CO2-Tracking für KMU fehlt</t>
  </si>
  <si>
    <t>Runn.io 2025</t>
  </si>
  <si>
    <t>Scope 3 schwierig</t>
  </si>
  <si>
    <t>KI-Betrug</t>
  </si>
  <si>
    <t>Deepfake Financial Fraud</t>
  </si>
  <si>
    <t>KI-generierte Deepfakes für CEO-Fraud</t>
  </si>
  <si>
    <t>Fraud Detection (reaktiv)</t>
  </si>
  <si>
    <t>Präventive KI-Erkennung für KMU fehlt</t>
  </si>
  <si>
    <t>CIO 2025</t>
  </si>
  <si>
    <t>Verifikation</t>
  </si>
  <si>
    <t>Mieter-Vermieter</t>
  </si>
  <si>
    <t>Koordinationsprobleme</t>
  </si>
  <si>
    <t>Fehlende Integration zwischen Eigentümern, Verwaltern und Mietern</t>
  </si>
  <si>
    <t>Portale ohne Integration</t>
  </si>
  <si>
    <t>Kollaborationsplattform mit Dokumentenmanagement fehlt</t>
  </si>
  <si>
    <t>tandfonline 2023</t>
  </si>
  <si>
    <t>Mietrecht komplex</t>
  </si>
  <si>
    <t>Controlling</t>
  </si>
  <si>
    <t>Controlling-Defizite</t>
  </si>
  <si>
    <t>KMU mit 1-10 Mio. Umsatz haben hohe Defizite im Controlling</t>
  </si>
  <si>
    <t>Komplexe BI-Tools</t>
  </si>
  <si>
    <t>Einfaches KMU-Controlling-Dashboard fehlt</t>
  </si>
  <si>
    <t>MDPI Sustainability 2024</t>
  </si>
  <si>
    <t>Quick Win</t>
  </si>
  <si>
    <t>Supply Chain Security</t>
  </si>
  <si>
    <t>Software-Lieferketten</t>
  </si>
  <si>
    <t>$138 Mrd. Schaden durch Supply-Chain-Angriffe bis 2031</t>
  </si>
  <si>
    <t>SBOM-Tools entstehen</t>
  </si>
  <si>
    <t>Automatisierte Abhängigkeitsprüfung für KMU fehlt</t>
  </si>
  <si>
    <t>FreightWaves 2025</t>
  </si>
  <si>
    <t>SBOM-Pflicht kommt</t>
  </si>
  <si>
    <t>Hochschulkrise</t>
  </si>
  <si>
    <t>Sinkende Studierendenzahlen</t>
  </si>
  <si>
    <t>Ab 2025 demografischer Knick, steigende Kosten</t>
  </si>
  <si>
    <t>DACH/USA</t>
  </si>
  <si>
    <t>Standard LMS</t>
  </si>
  <si>
    <t>Flexible Micro-Credential-Plattform fehlt</t>
  </si>
  <si>
    <t>Changing Higher Ed 2025</t>
  </si>
  <si>
    <t>Lebenslanges Lernen</t>
  </si>
  <si>
    <t>Photovoltaik</t>
  </si>
  <si>
    <t>PV-Anlagen Management</t>
  </si>
  <si>
    <t>PV-Anlagen ohne integriertes Management</t>
  </si>
  <si>
    <t>Hersteller-Apps</t>
  </si>
  <si>
    <t>Herstellerunabhängige PV-Management-App fehlt</t>
  </si>
  <si>
    <t>Tech Trends 2025</t>
  </si>
  <si>
    <t>EEG-Abrechnung</t>
  </si>
  <si>
    <t>Materialmangel</t>
  </si>
  <si>
    <t>Lieferkettenprobleme Bau</t>
  </si>
  <si>
    <t>Materialengpässe, Preissteigerungen, keine Transparenz</t>
  </si>
  <si>
    <t>Standard ERP</t>
  </si>
  <si>
    <t>Bau-spezifische Supply-Chain-Plattform fehlt</t>
  </si>
  <si>
    <t>PwC 2025</t>
  </si>
  <si>
    <t>Predictive Ordering</t>
  </si>
  <si>
    <t>Vertragsmanagement</t>
  </si>
  <si>
    <t>Vertrags-Chaos KMU</t>
  </si>
  <si>
    <t>KMU verlieren Überblick über Verträge, Fristen</t>
  </si>
  <si>
    <t>Enterprise CLM</t>
  </si>
  <si>
    <t>Einfaches Vertragsmanagement für KMU fehlt</t>
  </si>
  <si>
    <t>Legal Tech 2025</t>
  </si>
  <si>
    <t>KI-Extraktion</t>
  </si>
  <si>
    <t>Desinformation</t>
  </si>
  <si>
    <t>Fake News &amp; Deepfakes</t>
  </si>
  <si>
    <t>KI-generierte Desinformation schneller als Fakten</t>
  </si>
  <si>
    <t>Fact-Checker (manuell)</t>
  </si>
  <si>
    <t>Automatisierte KI-Faktenprüfung für Medien fehlt</t>
  </si>
  <si>
    <t>Deepfake Detection</t>
  </si>
  <si>
    <t>Regulatorik</t>
  </si>
  <si>
    <t>Compliance-Komplexität</t>
  </si>
  <si>
    <t>Wachsende Regulierung (MiCA, DORA), KMU überfordert</t>
  </si>
  <si>
    <t>Beratung</t>
  </si>
  <si>
    <t>Automatisierte Compliance-Monitoring-Plattform fehlt</t>
  </si>
  <si>
    <t>Norton Rose 2025</t>
  </si>
  <si>
    <t>RegTech</t>
  </si>
  <si>
    <t>Rechtszugang</t>
  </si>
  <si>
    <t>Access to Justice</t>
  </si>
  <si>
    <t>Rechtsberatung teuer, Bürger/KMU scheuen Anwälte</t>
  </si>
  <si>
    <t>Vereinzelte Legal-Bots</t>
  </si>
  <si>
    <t>KI-Rechtsassistent für Standardfälle fehlt</t>
  </si>
  <si>
    <t>Legal Tech DE 2025</t>
  </si>
  <si>
    <t>Regulierung beachten</t>
  </si>
  <si>
    <t>KI-Kosten</t>
  </si>
  <si>
    <t>AI Cost Management</t>
  </si>
  <si>
    <t>KI-Kosten explodieren, Millionen monatlich</t>
  </si>
  <si>
    <t>Cloud-Cost-Tools</t>
  </si>
  <si>
    <t>KI-spezifisches FinOps-Tool fehlt</t>
  </si>
  <si>
    <t>Tech Startups 2025</t>
  </si>
  <si>
    <t>Token-Optimierung</t>
  </si>
  <si>
    <t>KI-Halluzinationen</t>
  </si>
  <si>
    <t>LLM Reliability</t>
  </si>
  <si>
    <t>KI-Systeme halluzinieren bei automatisierten Entscheidungen</t>
  </si>
  <si>
    <t>Prompt Engineering</t>
  </si>
  <si>
    <t>Automatische Faktenprüfung für KI-Outputs fehlt</t>
  </si>
  <si>
    <t>RAG verbessern</t>
  </si>
  <si>
    <t>Mental Health</t>
  </si>
  <si>
    <t>Psychische Versorgungslücke</t>
  </si>
  <si>
    <t>60% der Patienten mit Depression erhalten keine Behandlung</t>
  </si>
  <si>
    <t>Weltweit</t>
  </si>
  <si>
    <t>Einzelne Apps (Calm, Headspace)</t>
  </si>
  <si>
    <t>KI-gestützte Therapiebegleitung mit Fachintegration fehlt</t>
  </si>
  <si>
    <t>Oracle Health 2025</t>
  </si>
  <si>
    <t>Stigma reduzieren</t>
  </si>
  <si>
    <t>Ärztemangel</t>
  </si>
  <si>
    <t>Fachkräftemangel Medizin</t>
  </si>
  <si>
    <t>Bis 2034: 37.800-124.000 Ärzte fehlen, längste Wartezeiten (26 Tage)</t>
  </si>
  <si>
    <t>Teladoc, Doctolib</t>
  </si>
  <si>
    <t>KI-Triage und Automatisierung für Routinefälle fehlt</t>
  </si>
  <si>
    <t>AAMC 2024</t>
  </si>
  <si>
    <t>Telemedizin-Ausbau</t>
  </si>
  <si>
    <t>Property Management</t>
  </si>
  <si>
    <t>Fragmentierte Systeme</t>
  </si>
  <si>
    <t>89% der Immobiliendaten werden nicht analysiert, Silos zwischen Systemen</t>
  </si>
  <si>
    <t>Europa/USA</t>
  </si>
  <si>
    <t>Einzellösungen vorhanden</t>
  </si>
  <si>
    <t>Integrierte Plattform für Vermieter/Verwalter fehlt</t>
  </si>
  <si>
    <t>Ascendix 2025</t>
  </si>
  <si>
    <t>Rent Navigator Ansatz</t>
  </si>
  <si>
    <t>IT-Fachkräfte</t>
  </si>
  <si>
    <t>IT-Spezialistenmangel</t>
  </si>
  <si>
    <t>Nur 15% kleine KMU haben ICT-Spezialisten vs. 47% mittlere KMU</t>
  </si>
  <si>
    <t>Europa</t>
  </si>
  <si>
    <t>Externe Dienstleister</t>
  </si>
  <si>
    <t>Managed IT-Service Plattform für Kleinst-KMU fehlt</t>
  </si>
  <si>
    <t>Eurostat 2024</t>
  </si>
  <si>
    <t>IT as a Service</t>
  </si>
  <si>
    <t>Datenschutz</t>
  </si>
  <si>
    <t>DSGVO-Komplexität</t>
  </si>
  <si>
    <t>88% sehen Datenschutz als größtes Digitalisierungshindernis</t>
  </si>
  <si>
    <t>Rechtliche Beratung</t>
  </si>
  <si>
    <t>Automatisierte DSGVO-Compliance-Plattform für KMU fehlt</t>
  </si>
  <si>
    <t>Bitkom 2025</t>
  </si>
  <si>
    <t>Kernhemmnis</t>
  </si>
  <si>
    <t>Arbeitskräftemangel</t>
  </si>
  <si>
    <t>Fahrer- und Lagermangel</t>
  </si>
  <si>
    <t>76% berichten signifikante Personalengpässe</t>
  </si>
  <si>
    <t>Recruiting-Plattformen</t>
  </si>
  <si>
    <t>KI-Automatisierung für Routineaufgaben fehlt</t>
  </si>
  <si>
    <t>FreightWaves Survey 2024</t>
  </si>
  <si>
    <t>AMR-Roboter</t>
  </si>
  <si>
    <t>Sichtbarkeit</t>
  </si>
  <si>
    <t>Supply Chain Visibility</t>
  </si>
  <si>
    <t>Unternehmen wissen nicht, wo Produkte sind</t>
  </si>
  <si>
    <t>55% planen KI-Investment</t>
  </si>
  <si>
    <t>Echtzeit-Tracking für KMU-Lieferketten fehlt</t>
  </si>
  <si>
    <t>McKinsey 2025</t>
  </si>
  <si>
    <t>Predictive Analytics</t>
  </si>
  <si>
    <t>Finanzplanung KMU</t>
  </si>
  <si>
    <t>Liquiditätsengpässe</t>
  </si>
  <si>
    <t>KMU haben schlechte Finanzplanung, Cash-Flow-Probleme</t>
  </si>
  <si>
    <t>Buchhaltungssoftware</t>
  </si>
  <si>
    <t>KI-gestützte Liquiditätsprognose für KMU fehlt</t>
  </si>
  <si>
    <t>Stripe DE 2025</t>
  </si>
  <si>
    <t>Predictive Finance</t>
  </si>
  <si>
    <t>Onboarding</t>
  </si>
  <si>
    <t>Digitales Onboarding</t>
  </si>
  <si>
    <t>Remote-Onboarding chaotisch, hohe Fluktuation</t>
  </si>
  <si>
    <t>HR-Suites (komplex)</t>
  </si>
  <si>
    <t>KI-gesteuertes Onboarding für KMU fehlt</t>
  </si>
  <si>
    <t>HR Tech 2025</t>
  </si>
  <si>
    <t>Gamification</t>
  </si>
  <si>
    <t>Social Commerce</t>
  </si>
  <si>
    <t>Verkauf über Social Media</t>
  </si>
  <si>
    <t>KMU kämpfen mit Multi-Channel-Verkauf</t>
  </si>
  <si>
    <t>Shopify (teils)</t>
  </si>
  <si>
    <t>Unified Social Commerce für KMU fehlt</t>
  </si>
  <si>
    <t>Social Commerce 2025</t>
  </si>
  <si>
    <t>API-Änderungen</t>
  </si>
  <si>
    <t>Letzte Meile</t>
  </si>
  <si>
    <t>Last-Mile-Delivery Kosten</t>
  </si>
  <si>
    <t>Letzte Meile macht 53% der Lieferkosten aus</t>
  </si>
  <si>
    <t>Urban</t>
  </si>
  <si>
    <t>Einzelne Startups</t>
  </si>
  <si>
    <t>KI-Routenoptimierung für Kleinlieferanten fehlt</t>
  </si>
  <si>
    <t>Leobit 2025</t>
  </si>
  <si>
    <t>Mikro-Hubs</t>
  </si>
  <si>
    <t>Multimodale Planung</t>
  </si>
  <si>
    <t>Fragmentierte Mobilität</t>
  </si>
  <si>
    <t>Keine App verbindet alle Verkehrsmittel</t>
  </si>
  <si>
    <t>Urban DACH</t>
  </si>
  <si>
    <t>DB Navigator, einzelne Apps</t>
  </si>
  <si>
    <t>Echte multimodale Super-App fehlt</t>
  </si>
  <si>
    <t>Mobility Tech 2025</t>
  </si>
  <si>
    <t>API-Integration</t>
  </si>
  <si>
    <t>Retouren</t>
  </si>
  <si>
    <t>Retourenmanagement</t>
  </si>
  <si>
    <t>Hohe Retourenquoten (&gt;30% Fashion), Kosten</t>
  </si>
  <si>
    <t>Logistik-Tools</t>
  </si>
  <si>
    <t>KI-Retourenprävention + Management fehlt</t>
  </si>
  <si>
    <t>E-Commerce 2025</t>
  </si>
  <si>
    <t>Virtuelle Anprobe</t>
  </si>
  <si>
    <t>Wissensmanagement</t>
  </si>
  <si>
    <t>Knowledge Silos</t>
  </si>
  <si>
    <t>Unternehmenswissen in E-Mails, Chats verstreut</t>
  </si>
  <si>
    <t>Confluence, Notion</t>
  </si>
  <si>
    <t>KI-gestütztes automatisches Wissens-Capturing fehlt</t>
  </si>
  <si>
    <t>KM Tech 2025</t>
  </si>
  <si>
    <t>RAG-Ansatz</t>
  </si>
  <si>
    <t>Digitalisierung</t>
  </si>
  <si>
    <t>Digitalisierungsrückstand</t>
  </si>
  <si>
    <t>53% haben Probleme, 82% sehen Wirtschaftskrise durch zögerliche Digitalisierung</t>
  </si>
  <si>
    <t>Komplexe Enterprise-Lösungen</t>
  </si>
  <si>
    <t>Einfache All-in-One für KMU fehlt</t>
  </si>
  <si>
    <t>Kernproblem DE</t>
  </si>
  <si>
    <t>E-Rechnung</t>
  </si>
  <si>
    <t>E-Rechnungspflicht 2025</t>
  </si>
  <si>
    <t>Ab 2025 B2B-Pflicht, viele KMU nicht vorbereitet</t>
  </si>
  <si>
    <t>EU-weit</t>
  </si>
  <si>
    <t>Lexoffice, sevDesk</t>
  </si>
  <si>
    <t>Integrierte Lösung mit ERP/CRM fehlt für kleine KMU</t>
  </si>
  <si>
    <t>DIHK 2025</t>
  </si>
  <si>
    <t>Zeitdruck!</t>
  </si>
  <si>
    <t>Cybersecurity</t>
  </si>
  <si>
    <t>KI-gestützte Angriffe</t>
  </si>
  <si>
    <t>Deepfake-Scams, KI-Phishing, Angriffsfläche wächst exponentiell</t>
  </si>
  <si>
    <t>Enterprise-Lösungen</t>
  </si>
  <si>
    <t>KMU-gerechte KI-Abwehr fehlt</t>
  </si>
  <si>
    <t>Giva 2026</t>
  </si>
  <si>
    <t>Kritisch</t>
  </si>
  <si>
    <t>Tech Talent Shortage</t>
  </si>
  <si>
    <t>85 Mio. Fachkräfte fehlen global bis 2030</t>
  </si>
  <si>
    <t>LinkedIn, StepStone</t>
  </si>
  <si>
    <t>KI-Matching für Tech-Talente + Upskilling fehlt</t>
  </si>
  <si>
    <t>Skills &gt; Degrees</t>
  </si>
  <si>
    <t>Tool-Überflutung</t>
  </si>
  <si>
    <t>EdTech-Wildwuchs</t>
  </si>
  <si>
    <t>2.739 Tools pro Schulbezirk, 65% ungenutzt</t>
  </si>
  <si>
    <t>USA/EU</t>
  </si>
  <si>
    <t>Viele Einzeltools</t>
  </si>
  <si>
    <t>Konsolidierte Bildungsplattform fehlt</t>
  </si>
  <si>
    <t>eSchool News 2025</t>
  </si>
  <si>
    <t>Rationalisierung</t>
  </si>
  <si>
    <t>E-Ladeinfrastruktur</t>
  </si>
  <si>
    <t>DACH/EU</t>
  </si>
  <si>
    <t>E-Mobility 2025</t>
  </si>
  <si>
    <t>Plug &amp; Charge</t>
  </si>
  <si>
    <t>Meeting-Overload</t>
  </si>
  <si>
    <t>Meeting-Fatigue</t>
  </si>
  <si>
    <t>Zu viele Meetings, keine automatische Dokumentation</t>
  </si>
  <si>
    <t>Otter.ai, Fireflies</t>
  </si>
  <si>
    <t>KI-Meeting-Assistent mit Workflow-Integration fehlt</t>
  </si>
  <si>
    <t>Productivity 2025</t>
  </si>
  <si>
    <t>Hoher Wettbewerb</t>
  </si>
  <si>
    <t>Zeiterfassung</t>
  </si>
  <si>
    <t>Arbeitszeitgesetz</t>
  </si>
  <si>
    <t>EuGH-Urteil: Zeiterfassung Pflicht, viele KMU nicht compliant</t>
  </si>
  <si>
    <t>Viele Tools</t>
  </si>
  <si>
    <t>Einfache, rechtssichere Lösung für Kleinst-KMU fehlt</t>
  </si>
  <si>
    <t>Produkt</t>
  </si>
  <si>
    <t>Domäne</t>
  </si>
  <si>
    <t>LFA - Lernzentrum für Auszubildende</t>
  </si>
  <si>
    <t>meinlfa.ai</t>
  </si>
  <si>
    <t>lfahub.ai</t>
  </si>
  <si>
    <t>lernzentrum.ai</t>
  </si>
  <si>
    <t>azubipro.ai</t>
  </si>
  <si>
    <t>SIT - Systemintegration (Ausbuldungberuf)</t>
  </si>
  <si>
    <t>sit-learn.ai</t>
  </si>
  <si>
    <t>sit-learn.com</t>
  </si>
  <si>
    <t>DaPro - Daten- &amp; Prozessanalyse (Ausbildungsberuf)</t>
  </si>
  <si>
    <t>dapro-learn.ai</t>
  </si>
  <si>
    <t>dapro-learn.com</t>
  </si>
  <si>
    <t>DiVer - Digitale Vernetzung</t>
  </si>
  <si>
    <t>diver-learn.ai</t>
  </si>
  <si>
    <t>diver-learn.com</t>
  </si>
  <si>
    <t>Typ</t>
  </si>
  <si>
    <t>BuyRight AI</t>
  </si>
  <si>
    <t>Elias Felsing</t>
  </si>
  <si>
    <t xml:space="preserve">E-Commerce / KI-Shopping-Assistent	</t>
  </si>
  <si>
    <t xml:space="preserve">Elias Felsing	</t>
  </si>
  <si>
    <t xml:space="preserve">Online-Shopper 18–35, Technik-Käufer, Preisbewusste Shopper, Käufer 35–55, Eltern; DACH-Raum	</t>
  </si>
  <si>
    <t xml:space="preserve">22 % Retourenquote durch Fehlkäufe; bis zu 42 % gefälschte Amazon-Reviews; kein ganzheitlicher KI-Assistent für Kaufentscheidungen im Markt	</t>
  </si>
  <si>
    <t xml:space="preserve">Nutzer gibt Produktlink / Bild / Text ein → KI analysiert in &lt;30 Sek. und liefert Score 0–100, Pros/Cons, Warnungen, 3–5 Alternativen + BUY / DON'T BUY-Empfehlung	</t>
  </si>
  <si>
    <t xml:space="preserve">Einziger Anbieter der KI-Score + BUY/DON'T BUY + Review-Echtheitsprüfung + Preisbewertung + Alternativenvergleich in einem für Laien optimierten Web-Interface kombiniert	</t>
  </si>
  <si>
    <t xml:space="preserve">Amazon Reviews, FakeSpot (US), ReviewMeta (US), idealo (DE), Google Shopping, Wirecutter (US), ChatGPT / Perplexity	</t>
  </si>
  <si>
    <t xml:space="preserve">GhostAccounts	</t>
  </si>
  <si>
    <t xml:space="preserve">Security / Privacy / Consumer SaaS	</t>
  </si>
  <si>
    <t xml:space="preserve">Digitale Vielnutzer 25–38, Berufstätige mit Abo-Stack 25–55, Freelancer 22–45, Nutzer nach Sicherheitsvorfall; DACH-Region	</t>
  </si>
  <si>
    <t xml:space="preserve">Ø 100–200 registrierte Konten pro Person, aktiv genutzt nur 20–30; 85 % Sicherheitsvorfälle durch kompromittierte Credentials (BSI 2025); Ø 18,50 EUR/Monat unbemerkte Abo-Kosten	</t>
  </si>
  <si>
    <t xml:space="preserve">Lokaler OAuth-E-Mail-Scan → Kontoliste mit Risiko-Score pro Konto → Lösch-Assistent (Direktlinks + Schrittanleitungen je Plattform) → kontinuierliches Breach-Monitoring	</t>
  </si>
  <si>
    <t xml:space="preserve">Erster DACH-Anbieter der lokalen Privacy-Scan + vollständige Kontotransparenz + operativen Lösch-Assistenten + Breach-Monitoring in einem DSGVO-nativen Consumer-Produkt kombiniert	</t>
  </si>
  <si>
    <t xml:space="preserve">HaveIBeenPwned, NordPass, 1Password Watchtower, DeleteMe (US), Deseat.me, Jumbo Privacy (US)	</t>
  </si>
  <si>
    <t xml:space="preserve">Next.js 15, TypeScript, Tailwind CSS, shadcn/ui, Supabase EU Frankfurt, OpenAI GPT-4o / Claude Fallback, SerpAPI, Stripe, Resend EU, Plausible EU, Vercel fra1	</t>
  </si>
  <si>
    <t xml:space="preserve">React/Vue SPA, OAuth 2.0 (Google/Microsoft), Node.js EU-Backend, PostgreSQL/Supabase, HIBP Breach-API, Stripe, Notification-Service EU, EU-Cloud-Hosting	</t>
  </si>
  <si>
    <t xml:space="preserve">DSGVO (Art. 6), EU AI Act 2025, Affiliate-Kennzeichnung §5a UWG, Amazon PA-API / TOS-konforme Nutzung, EU-Hosting	</t>
  </si>
  <si>
    <t xml:space="preserve">DSGVO (Privacy by Design), OAuth 2.0 Consent-Architektur (nur Metadaten), EU-Hosting (DPA), PCI-DSS, BSI-Anforderungen	</t>
  </si>
  <si>
    <t xml:space="preserve">Freemium: Free (3 Checks/Tag) / Pro 9,99 EUR/Monat; Affiliate-Links; Ziel: 1.000 Pro-User = 9.990 EUR MRR	</t>
  </si>
  <si>
    <t xml:space="preserve">Freemium: Free (Top 20 Konten) / Pro 3,99 EUR/Monat (unbegrenzt + Monitoring); B2B2C-Kooperationen (Versicherungen, Banken, Telekom)	</t>
  </si>
  <si>
    <t>V2: Preisverfall-Alerts, Wishlist-Tracking, Browser-Extension. Claim: "Fehlkäufe vermeiden. Besser kaufen."</t>
  </si>
  <si>
    <t xml:space="preserve">V2: Re-Scan-Automatisierung, B2B-API, 200+ Dienste. Claim: "Wissen, was existiert. Löschen, was schadet."	</t>
  </si>
  <si>
    <t>https://ghostaccounts.vercel.app/de</t>
  </si>
  <si>
    <t>https://www.buyrai.eu/</t>
  </si>
  <si>
    <t>https://www.aiaway.de/auth/login</t>
  </si>
  <si>
    <t>https://wamocon.github.io/BuyRight-AI_lp/</t>
  </si>
  <si>
    <t>https://info.ahnenecho.eu/</t>
  </si>
  <si>
    <t>https://info.baseguard.eu/</t>
  </si>
  <si>
    <t>https://www.baseguard.eu/de</t>
  </si>
  <si>
    <t>https://ahnenecho.eu/de</t>
  </si>
  <si>
    <t>Web-App</t>
  </si>
  <si>
    <t xml:space="preserve">https://wamocon.github.io/plan-it/ </t>
  </si>
  <si>
    <t>planIT</t>
  </si>
  <si>
    <t xml:space="preserve">https://wamocon.github.io/TeamRadar/ </t>
  </si>
  <si>
    <t>teamradar</t>
  </si>
  <si>
    <t xml:space="preserve">https://teamradar.vercel.app/auth/login </t>
  </si>
  <si>
    <t>https://curly-couscous-zg4j298.pages.github.io/</t>
  </si>
  <si>
    <t>AWAY</t>
  </si>
  <si>
    <t>https://landingpage.aiaway.de/</t>
  </si>
  <si>
    <t xml:space="preserve">http://produkthandbuch.aiaway.de/ </t>
  </si>
  <si>
    <t>TRACE</t>
  </si>
  <si>
    <t xml:space="preserve">https://trace-livid-kappa.vercel.app/auth/login </t>
  </si>
  <si>
    <t xml:space="preserve">https://wamocon.github.io/trace/ </t>
  </si>
  <si>
    <t>https://redesigned-guide-v3ypon5.pages.github.io/</t>
  </si>
  <si>
    <t>LadeKompass</t>
  </si>
  <si>
    <t xml:space="preserve">https://produkthandbuch.ladekompass.com/ </t>
  </si>
  <si>
    <t>https://landingpage.ladekompass.com/</t>
  </si>
  <si>
    <t>https://www.ladekompass.com/de/</t>
  </si>
  <si>
    <t>ladekompass</t>
  </si>
  <si>
    <t>https://www.ahnenecho.eu/de/help/handbuch</t>
  </si>
  <si>
    <t xml:space="preserve">https://wamocon.github.io/kitaradar/manual/index.html </t>
  </si>
  <si>
    <t>grundsteuerpruefer</t>
  </si>
  <si>
    <t>kitaRadar</t>
  </si>
  <si>
    <t>tbd</t>
  </si>
  <si>
    <t>schufaCleaner</t>
  </si>
  <si>
    <t>daily echo</t>
  </si>
  <si>
    <t xml:space="preserve">https://wamocon.github.io/schufacleaner/manual/index.html </t>
  </si>
  <si>
    <t>Auktivo</t>
  </si>
  <si>
    <t>https://www.dailyecho.app/help</t>
  </si>
  <si>
    <t>dailyecho</t>
  </si>
  <si>
    <t>https://wamocon.github.io/parzella/manual/index.html</t>
  </si>
  <si>
    <t>https://wamocon.github.io/auktivo/manual/</t>
  </si>
  <si>
    <t xml:space="preserve">https://vertragspro.eu/de </t>
  </si>
  <si>
    <t>11 (KW21)</t>
  </si>
  <si>
    <t>AWAY_v2</t>
  </si>
  <si>
    <t>TRACE_v2</t>
  </si>
  <si>
    <t>https://www.rideproof.eu/de</t>
  </si>
  <si>
    <t>Anforderungsdokument_RideProof_WAMOCON_2026-05-05.docx</t>
  </si>
  <si>
    <t>https://meine-wohnung.vercel.app/handbook</t>
  </si>
  <si>
    <t>meine wohnung</t>
  </si>
  <si>
    <t>https://www.backofficeassistent.eu/</t>
  </si>
  <si>
    <t>https://www.backofficeassistent.eu/de/handbook</t>
  </si>
  <si>
    <t>KITrainer</t>
  </si>
  <si>
    <t>https://ki-prufungstrainer.vercel.app/de/manual</t>
  </si>
  <si>
    <t>https://ki-prufungstrainer.vercel.app/de</t>
  </si>
  <si>
    <t>https://www.cancard.eu/de</t>
  </si>
  <si>
    <t>https://www.cancard.eu/de/manual</t>
  </si>
  <si>
    <t>Bauwesen / PropTech</t>
  </si>
  <si>
    <t>Maanik / Waleri</t>
  </si>
  <si>
    <t>Handwerker, Bauleiter, Bauunternehmer, Projektmanager am Bau</t>
  </si>
  <si>
    <t>Baumängel werden chaotisch per WhatsApp oder Papier dokumentiert – keine strukturierte Erfassung, Nachverfolgung oder Kommunikation auf der Baustelle</t>
  </si>
  <si>
    <t>Voice-first Mängelmanagement-App: KI-Sprachtranskription (Groq Whisper), Foto/Video/Dokumente, Echtzeit-Sync, Rollensystem (Admin/Manager/Worker), PWA</t>
  </si>
  <si>
    <t>Voice-first + mehrsprachig (DE/TR/RU via DeepL) + Offline-fähig + Rollenkonzept in einer einzigen Bau-App</t>
  </si>
  <si>
    <t>PlanGrid, Procore, Capmo, MyPlan</t>
  </si>
  <si>
    <t>–</t>
  </si>
  <si>
    <t>Mittel (4–8 Wochen; Basis bereits live)</t>
  </si>
  <si>
    <t>Next.js 15, React 19, Supabase (PostgreSQL + Auth + Storage + Realtime), Groq Whisper Large v3, DeepL API, Tailwind CSS v4, PWA</t>
  </si>
  <si>
    <t>DSGVO (EU-Hosting), VOB/B (Bau-Mängelrecht)</t>
  </si>
  <si>
    <t>SaaS-Abo (Pro/Business je Projekt), Freemium-Einstieg</t>
  </si>
  <si>
    <t>In Entwicklung / MVP live</t>
  </si>
  <si>
    <t>Repo: Wamocon/ustafix.app · Landing Page: Wamocon/ustafix-Landing-page</t>
  </si>
  <si>
    <t>KI Manager (LMS)</t>
  </si>
  <si>
    <t>EdTech / KI-Weiterbildung / B2B SaaS</t>
  </si>
  <si>
    <t>Führungskräfte, Manager, Fachleute in DACH-Unternehmen, die EU AI Act Compliance nachweisen müssen</t>
  </si>
  <si>
    <t>Der EU AI Act tritt ab August 2026 verbindlich in Kraft – Unternehmen fehlt qualifiziertes, zertifiziertes Personal für KI-Governance und Compliance</t>
  </si>
  <si>
    <t>Multi-Tenant B2B SaaS LMS: 8-Wochen-Zertifizierungsprogramm (KI-Manager), 8 Module + Gamification (XP, Badges, Streaks), 3-stufiges RBAC (Super-Admin/Org-Admin/Learner)</t>
  </si>
  <si>
    <t>Einziges LMS speziell auf den EU AI Act (Aug. 2026) ausgerichtet mit IHK-Niveau-Inhalten, Gamification und B2B-Multi-Tenancy</t>
  </si>
  <si>
    <t>Coursera, Udemy, IHK-Präsenzkurse, LinkedIn Learning</t>
  </si>
  <si>
    <t>Sehr Hoch</t>
  </si>
  <si>
    <t>EU AI Act (Art. 4 – AI Literacy Pflicht)</t>
  </si>
  <si>
    <t>Mittel (6–10 Wochen; Kursinhalt bereits vollständig als Content-Library vorhanden)</t>
  </si>
  <si>
    <t>Next.js 16 (App Router, Turbopack), React 19, Supabase (PostgreSQL + Auth + RLS), Zustand 5, TypeScript 5, Tailwind CSS v4, shadcn/ui</t>
  </si>
  <si>
    <t>EU AI Act (Art. 4 AI Literacy), DSGVO, ggf. IHK-Anerkennung</t>
  </si>
  <si>
    <t>B2B SaaS: Lizenz pro Nutzer/Monat, Firmenlizenzen, optionales Zertifikat</t>
  </si>
  <si>
    <t>In Entwicklung (Kurs-Content vollständig, LMS-Backend live)</t>
  </si>
  <si>
    <t>2025–2026</t>
  </si>
  <si>
    <t>Repo: Wamocon/KI-Manager-LMS · 8 Module mit je 6–8 Lektionen + Quizzes bereits codiert</t>
  </si>
  <si>
    <t>ki-manager-lms.vercel.app</t>
  </si>
  <si>
    <t>LinkedIn &amp; Instagram Automation (SocialHub)</t>
  </si>
  <si>
    <t>Marketing Automation / Social Media SaaS</t>
  </si>
  <si>
    <t>Marketing-Manager, Agenturen, Selbstständige, Coaches, KMU</t>
  </si>
  <si>
    <t>Content für LinkedIn &amp; Instagram manuell erstellen, planen und veröffentlichen kostet täglich mehrere Stunden – keine durchgängige Automatisierung von Idee bis Posting</t>
  </si>
  <si>
    <t>KI-gestützter End-to-End-Publishing-Workflow: Gemini Pro für Texterstellung + Imagen 4 Ultra für Bildgenerierung + LinkedIn API für Auto-Posting + Zeitplanung (Di/Do 09:00) + Kommentar-Automatisierung</t>
  </si>
  <si>
    <t>Vollautomatisierter Workflow: KI-Text + KI-Bild + Auto-Publish inkl. Follow-up-Kommentar – alles in einem System, integriert in Marketing Powerhouse</t>
  </si>
  <si>
    <t>Hootsuite, Buffer, Later, Publer, Taplio</t>
  </si>
  <si>
    <t>Mittel (bereits als Modul in marketing_powerhouse integriert; eigenständige App: 8–12 Wochen)</t>
  </si>
  <si>
    <t>Python / FastAPI, Google Gemini Pro, Imagen 4 Ultra, LinkedIn OAuth API, APScheduler, Supabase PostgreSQL, Jinja2 (Dashboard)</t>
  </si>
  <si>
    <t>DSGVO, LinkedIn API-Nutzungsbedingungen, Instagram Graph API-Bedingungen</t>
  </si>
  <si>
    <t>SaaS-Abo (Post-Pakete/Monat), Agentur-Whitelabel-Plan</t>
  </si>
  <si>
    <t>In Entwicklung (als Teil von Marketing Powerhouse live)</t>
  </si>
  <si>
    <t>Repo: Wamocon/marketing_powerhouse · SocialHub ist Sub-Modul in /Social Hub/ · Instagram-Integration geplant, LinkedIn fertig</t>
  </si>
  <si>
    <t>www.momentum-marketing.app</t>
  </si>
  <si>
    <t>KI-Content-Verifizierung / InfoSec / Trust Tech</t>
  </si>
  <si>
    <t>Journalisten, Behörden, Unternehmen, Bildungseinrichtungen, Privatnutzer</t>
  </si>
  <si>
    <t>KI-generierter Content ist kaum von echtem zu unterscheiden – Fake News, manipulierte Texte und KI-Halluzinationen untergraben Vertrauen in digitale Inhalte</t>
  </si>
  <si>
    <t>Web-App + Chrome-Extension (Manifest V3): Echtzeit-Verifizierung markierter Texte oder ganzer Seiten per Rechtsklick, Trust Score + Claim Breakdown in floating Panel</t>
  </si>
  <si>
    <t>Direkte Browser-Integration per Rechtsklick auf beliebiger Seite – kein Copy-Paste in externe Tools, Dark-Mode, API-Key für B2B-Nutzung</t>
  </si>
  <si>
    <t>GPTZero, Originality.ai, Turnitin AI, Winston AI</t>
  </si>
  <si>
    <t>EU AI Act Art. 50 (Transparenz-Pflicht für KI-Inhalte)</t>
  </si>
  <si>
    <t>Mittel (App-Backend &amp; Extension bereits im Repo; Skalierung: 6–10 Wochen)</t>
  </si>
  <si>
    <t>Next.js (App Router), Chrome Extension Manifest V3 (background.js, content.js, sidepanel), REST API (/api/extension/scan), Supabase</t>
  </si>
  <si>
    <t>DSGVO, EU AI Act Art. 50 (Kennzeichnung KI-generierter Inhalte), NetzDG</t>
  </si>
  <si>
    <t>Freemium (kostenlose Checks/Monat), Pro-Abo (unbegrenzte Verifikationen), B2B-API-Lizenz</t>
  </si>
  <si>
    <t>In Entwicklung / Live</t>
  </si>
  <si>
    <t>Repo: Wamocon/KLAR · Chrome Extension verfügbar · Sehr hohe gesellschaftliche Relevanz durch EU AI Act</t>
  </si>
  <si>
    <t>klar-app.vercel.app</t>
  </si>
  <si>
    <t>Requirement Manager (WMC Anforderungsportal)</t>
  </si>
  <si>
    <t>IT-Consulting / B2B SaaS / Projektmanagement</t>
  </si>
  <si>
    <t>IT-Berater, Product Owner, Projektmanager, Softwareagenturen, KMU</t>
  </si>
  <si>
    <t>Anforderungserfassung für Kundenprojekte erfolgt chaotisch per E-Mail und Word-Dokumenten – unstrukturiert, zeitaufwendig und fehleranfällig</t>
  </si>
  <si>
    <t>KI-gestütztes Anforderungsportal: strukturierte Formulare, Spracheingabe (Web Speech API), KI-Textverbesserung (Google Gemini), KI-Interviewer-Modus, RBAC (Super Admin / Staff / Product Owner), 25 Sprachen</t>
  </si>
  <si>
    <t>KI-Interviewer-Modus (konversationelle Anforderungserfassung) + MCP-Server (GitHub Copilot/Claude/Cursor-Integration) + 25 Sprachen in einer B2B-Plattform</t>
  </si>
  <si>
    <t>Jira, Confluence, Azure DevOps, Monday.com, Notion</t>
  </si>
  <si>
    <t>Niedrig–Mittel (vollständig entwickelt inkl. E2E-Tests &amp; MCP-Server; produktionsreif)</t>
  </si>
  <si>
    <t>Next.js 16 (App Router), React 19, TypeScript, Supabase (PostgreSQL + RLS), Google Gemini (Vercel AI SDK), Tailwind CSS 4, shadcn/ui, Playwright (E2E), Zustand, next-intl (25 Locales)</t>
  </si>
  <si>
    <t>DSGVO (EU-Hosting, kein Training auf Nutzerdaten), ggf. ISO 29148 (Requirements Engineering)</t>
  </si>
  <si>
    <t>SaaS-Abo (Projekte/Monat), Agentur-Plan, Enterprise-Lizenz</t>
  </si>
  <si>
    <t>Produktionsreif / Live (Vercel-Deploy)</t>
  </si>
  <si>
    <t>Repo: Wamocon/WMC-Anforderungsportal · MCP-Server als npm-Package (anforderungsportal-mcp) · User Manuals (EN+DE) vorhanden</t>
  </si>
  <si>
    <t>wmc-anforderungsportal.vercel.app</t>
  </si>
  <si>
    <t>https://wgplaner.vercel.app/de</t>
  </si>
  <si>
    <t>https://wgplaner.vercel.app/en/manual</t>
  </si>
  <si>
    <t>web-extension</t>
  </si>
  <si>
    <t>https://meine-wohnung.vercel.app/</t>
  </si>
  <si>
    <t>fvhffywxgfsdkenvdvkt</t>
  </si>
  <si>
    <t>KI Manager LMS</t>
  </si>
  <si>
    <t>ki-manager-lms.vercel.app/lp</t>
  </si>
  <si>
    <t>acgxydrisfjbilfgatkq</t>
  </si>
  <si>
    <t>ki-manager-lms</t>
  </si>
  <si>
    <t>LinkedIn &amp; Instagram Automation</t>
  </si>
  <si>
    <t>SocialHub / Momentum</t>
  </si>
  <si>
    <t>momentum_marketing_landingpage (Vercel)</t>
  </si>
  <si>
    <t>Anforderungsmanager</t>
  </si>
  <si>
    <t>WMC Anforderungsportal</t>
  </si>
  <si>
    <t>wmc-anforderungsportal</t>
  </si>
  <si>
    <t>klar-app.vercel.app/lp</t>
  </si>
  <si>
    <t>jjarhxxfcagapeaahntw</t>
  </si>
  <si>
    <t>klar-app</t>
  </si>
  <si>
    <t>MAX AI Stack</t>
  </si>
  <si>
    <t>aria-ten-kohl.vercel.app</t>
  </si>
  <si>
    <t>aria-ten-kohl</t>
  </si>
  <si>
    <t>Web App / PWA</t>
  </si>
  <si>
    <t>Web App / SaaS</t>
  </si>
  <si>
    <t>ftbkqtteavvdqmhbmzoy</t>
  </si>
  <si>
    <t>Web App + Chrome Extension</t>
  </si>
  <si>
    <t>Lokale KI-Plattform</t>
  </si>
  <si>
    <t>Kein Supabase</t>
  </si>
  <si>
    <t>Kein Vercel</t>
  </si>
  <si>
    <t>Web App / Medical AI</t>
  </si>
  <si>
    <t>jjarhxxfcagapeaahntw (Schema: aria)</t>
  </si>
  <si>
    <t>Lokal / LAN</t>
  </si>
  <si>
    <t xml:space="preserve">	wmc-anforderungsportal</t>
  </si>
  <si>
    <t xml:space="preserve">	klar-app</t>
  </si>
  <si>
    <t xml:space="preserve">	Kein Vercel</t>
  </si>
  <si>
    <t>KI-Manager-LMS_Benutzerhandbuch.docx</t>
  </si>
  <si>
    <t>06-01-27 KI-Manager</t>
  </si>
  <si>
    <t>KLAR_Benutzerhandbuch_DE.docx</t>
  </si>
  <si>
    <t>06-01-23 KLAR</t>
  </si>
  <si>
    <t>06-01-28 Lokal KI</t>
  </si>
  <si>
    <t>BENUTZERHANDBUCH.docx</t>
  </si>
  <si>
    <t>04_Freigabe erteilt_ARIA</t>
  </si>
  <si>
    <t>ustafix-app</t>
  </si>
  <si>
    <t>Geburtstagspilot</t>
  </si>
  <si>
    <t>https://www.geburtstagspilot.de/</t>
  </si>
  <si>
    <t>https://belegnest.de/</t>
  </si>
  <si>
    <t>belegnest</t>
  </si>
  <si>
    <t>12 (KW22)</t>
  </si>
  <si>
    <t>geburtstagspilot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</si>
</sst>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font>
      <sz val="11"/>
      <color theme="1"/>
      <name val="Calibri"/>
      <family val="2"/>
      <scheme val="minor"/>
    </font>
    <font>
      <sz val="11"/>
      <color theme="1"/>
      <name val="Calibri"/>
      <scheme val="minor"/>
    </font>
    <font>
      <b/>
      <sz val="18"/>
      <color rgb="FF2E75B6"/>
      <name val="Arial"/>
      <family val="2"/>
    </font>
    <font>
      <i/>
      <sz val="10"/>
      <name val="Arial"/>
      <family val="2"/>
    </font>
    <font>
      <b/>
      <sz val="11"/>
      <color rgb="FFFFFFFF"/>
      <name val="Arial"/>
      <family val="2"/>
    </font>
    <font>
      <sz val="10"/>
      <name val="Arial"/>
      <family val="2"/>
    </font>
    <font>
      <b/>
      <sz val="11"/>
      <name val="Calibri"/>
      <family val="2"/>
    </font>
    <font>
      <i/>
      <sz val="11"/>
      <color rgb="FF666666"/>
      <name val="Calibri"/>
      <family val="2"/>
    </font>
    <font>
      <b/>
      <sz val="16"/>
      <color rgb="FF2E75B6"/>
      <name val="Calibri"/>
      <family val="2"/>
    </font>
    <font>
      <sz val="10"/>
      <name val="Calibri"/>
      <family val="2"/>
    </font>
    <font>
      <u/>
      <sz val="11"/>
      <color theme="10"/>
      <name val="Calibri"/>
      <family val="2"/>
      <scheme val="minor"/>
    </font>
    <font>
      <sz val="11"/>
      <color rgb="FF1F1F1F"/>
      <name val="Arial"/>
      <family val="2"/>
    </font>
    <font>
      <sz val="11"/>
      <color theme="1"/>
      <name val="Arial"/>
      <family val="2"/>
    </font>
    <font>
      <sz val="14"/>
      <color theme="1"/>
      <name val="Calibri"/>
      <family val="2"/>
      <scheme val="minor"/>
    </font>
    <font>
      <sz val="10"/>
      <color rgb="FF000000"/>
      <name val="Arial"/>
      <charset val="1"/>
    </font>
    <font>
      <sz val="10"/>
      <name val="Arial"/>
    </font>
    <font>
      <sz val="11"/>
      <color rgb="FF1F1F1F"/>
      <name val="Calibri"/>
      <scheme val="minor"/>
    </font>
    <font>
      <sz val="11"/>
      <color theme="1"/>
      <name val="Calibri"/>
      <scheme val="minor"/>
    </font>
    <font>
      <sz val="11"/>
      <color rgb="FF1F1F1F"/>
      <name val="Calibri"/>
      <family val="2"/>
      <scheme val="minor"/>
    </font>
    <font>
      <b/>
      <sz val="12"/>
      <color theme="1"/>
      <name val="Calibri"/>
      <family val="2"/>
      <scheme val="minor"/>
    </font>
    <font>
      <sz val="8"/>
      <name val="Calibri"/>
      <family val="2"/>
      <scheme val="minor"/>
    </font>
    <font>
      <sz val="11"/>
      <color rgb="FF000000"/>
      <name val="Calibri"/>
      <charset val="1"/>
    </font>
    <font>
      <sz val="12"/>
      <color rgb="FFF0F6FC"/>
      <name val="Mona Sans VF"/>
      <charset val="1"/>
    </font>
  </fonts>
  <fills count="14">
    <fill>
      <patternFill patternType="none"/>
    </fill>
    <fill>
      <patternFill patternType="gray125"/>
    </fill>
    <fill>
      <patternFill patternType="solid">
        <fgColor rgb="FF2E75B6"/>
        <bgColor rgb="FF2E75B6"/>
      </patternFill>
    </fill>
    <fill>
      <patternFill patternType="solid">
        <fgColor rgb="FFDDEBF7"/>
        <bgColor rgb="FFDDEBF7"/>
      </patternFill>
    </fill>
    <fill>
      <patternFill patternType="solid">
        <fgColor rgb="FF538135"/>
        <bgColor rgb="FF538135"/>
      </patternFill>
    </fill>
    <fill>
      <patternFill patternType="solid">
        <fgColor rgb="FFE2EFDA"/>
        <bgColor rgb="FFE2EFDA"/>
      </patternFill>
    </fill>
    <fill>
      <patternFill patternType="solid">
        <fgColor rgb="FFED7D31"/>
        <bgColor rgb="FFED7D31"/>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92D050"/>
        <bgColor indexed="64"/>
      </patternFill>
    </fill>
    <fill>
      <patternFill patternType="solid">
        <fgColor theme="0" tint="-0.249977111117893"/>
        <bgColor indexed="64"/>
      </patternFill>
    </fill>
    <fill>
      <patternFill patternType="solid">
        <fgColor rgb="FF0D1117"/>
        <bgColor indexed="64"/>
      </patternFill>
    </fill>
    <fill>
      <patternFill patternType="solid">
        <fgColor rgb="FF151B23"/>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rgb="FF1F1F1F"/>
      </left>
      <right style="thin">
        <color rgb="FF1F1F1F"/>
      </right>
      <top style="thin">
        <color rgb="FF1F1F1F"/>
      </top>
      <bottom style="thin">
        <color rgb="FF1F1F1F"/>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right/>
      <top/>
      <bottom style="medium">
        <color indexed="64"/>
      </bottom>
      <diagonal/>
    </border>
    <border>
      <left/>
      <right/>
      <top style="thin">
        <color auto="1"/>
      </top>
      <bottom style="medium">
        <color indexed="64"/>
      </bottom>
      <diagonal/>
    </border>
    <border>
      <left style="thin">
        <color auto="1"/>
      </left>
      <right style="thin">
        <color auto="1"/>
      </right>
      <top/>
      <bottom style="medium">
        <color indexed="64"/>
      </bottom>
      <diagonal/>
    </border>
    <border>
      <left style="thin">
        <color rgb="FF3D444D"/>
      </left>
      <right style="thin">
        <color rgb="FF3D444D"/>
      </right>
      <top style="thin">
        <color rgb="FF3D444D"/>
      </top>
      <bottom style="thin">
        <color rgb="FF3D444D"/>
      </bottom>
      <diagonal/>
    </border>
    <border>
      <left style="thin">
        <color auto="1"/>
      </left>
      <right/>
      <top/>
      <bottom/>
      <diagonal/>
    </border>
  </borders>
  <cellStyleXfs count="2">
    <xf numFmtId="0" fontId="0" fillId="0" borderId="0"/>
    <xf numFmtId="0" fontId="10" fillId="0" borderId="0" applyNumberFormat="0" applyFill="0" applyBorder="0" applyAlignment="0" applyProtection="0"/>
  </cellStyleXfs>
  <cellXfs count="109">
    <xf numFmtId="0" fontId="0" fillId="0" borderId="0" xfId="0"/>
    <xf numFmtId="0" fontId="3" fillId="0" borderId="0" xfId="0" applyFont="1"/>
    <xf numFmtId="0" fontId="5" fillId="3" borderId="0" xfId="0" applyFont="1" applyFill="1"/>
    <xf numFmtId="0" fontId="6" fillId="3" borderId="0" xfId="0" applyFont="1" applyFill="1"/>
    <xf numFmtId="0" fontId="7" fillId="0" borderId="0" xfId="0" applyFont="1"/>
    <xf numFmtId="0" fontId="5" fillId="0" borderId="0" xfId="0" applyFont="1"/>
    <xf numFmtId="0" fontId="4" fillId="2" borderId="1" xfId="0" applyFont="1" applyFill="1" applyBorder="1" applyAlignment="1">
      <alignment horizontal="center" vertical="center" wrapText="1"/>
    </xf>
    <xf numFmtId="0" fontId="5" fillId="0" borderId="1" xfId="0" applyFont="1" applyBorder="1" applyAlignment="1">
      <alignment vertical="center" wrapText="1"/>
    </xf>
    <xf numFmtId="0" fontId="4" fillId="4" borderId="1" xfId="0" applyFont="1" applyFill="1" applyBorder="1" applyAlignment="1">
      <alignment horizontal="center" vertical="center" wrapText="1"/>
    </xf>
    <xf numFmtId="0" fontId="9" fillId="0" borderId="0" xfId="0" applyFont="1"/>
    <xf numFmtId="0" fontId="6" fillId="0" borderId="0" xfId="0" applyFont="1"/>
    <xf numFmtId="164" fontId="4" fillId="2" borderId="1" xfId="0" applyNumberFormat="1" applyFont="1" applyFill="1" applyBorder="1" applyAlignment="1">
      <alignment horizontal="center" vertical="center" wrapText="1"/>
    </xf>
    <xf numFmtId="164" fontId="5" fillId="0" borderId="1" xfId="0" applyNumberFormat="1" applyFont="1" applyBorder="1" applyAlignment="1">
      <alignment vertical="center" wrapText="1"/>
    </xf>
    <xf numFmtId="164" fontId="0" fillId="0" borderId="0" xfId="0" applyNumberFormat="1"/>
    <xf numFmtId="164" fontId="4" fillId="4" borderId="1" xfId="0" applyNumberFormat="1" applyFont="1" applyFill="1" applyBorder="1" applyAlignment="1">
      <alignment horizontal="center" vertical="center" wrapText="1"/>
    </xf>
    <xf numFmtId="0" fontId="6" fillId="5" borderId="0" xfId="0" applyFont="1" applyFill="1"/>
    <xf numFmtId="14" fontId="0" fillId="0" borderId="0" xfId="0" applyNumberFormat="1"/>
    <xf numFmtId="0" fontId="0" fillId="0" borderId="0" xfId="0" applyAlignment="1">
      <alignment wrapText="1"/>
    </xf>
    <xf numFmtId="0" fontId="5" fillId="0" borderId="2" xfId="0" applyFont="1" applyBorder="1" applyAlignment="1">
      <alignment vertical="center" wrapText="1"/>
    </xf>
    <xf numFmtId="0" fontId="11" fillId="0" borderId="1" xfId="0" applyFont="1" applyBorder="1" applyAlignment="1">
      <alignment vertical="center" wrapText="1" readingOrder="1"/>
    </xf>
    <xf numFmtId="0" fontId="0" fillId="0" borderId="1" xfId="0" applyBorder="1"/>
    <xf numFmtId="0" fontId="10" fillId="0" borderId="1" xfId="1" applyFill="1" applyBorder="1" applyAlignment="1">
      <alignment vertical="center" wrapText="1" readingOrder="1"/>
    </xf>
    <xf numFmtId="164" fontId="0" fillId="0" borderId="1" xfId="0" applyNumberFormat="1" applyBorder="1"/>
    <xf numFmtId="0" fontId="0" fillId="0" borderId="1" xfId="0" applyBorder="1" applyAlignment="1">
      <alignment wrapText="1"/>
    </xf>
    <xf numFmtId="14" fontId="0" fillId="0" borderId="1" xfId="0" applyNumberFormat="1" applyBorder="1"/>
    <xf numFmtId="14" fontId="11" fillId="0" borderId="1" xfId="0" applyNumberFormat="1" applyFont="1" applyBorder="1" applyAlignment="1">
      <alignment vertical="center" wrapText="1" readingOrder="1"/>
    </xf>
    <xf numFmtId="0" fontId="0" fillId="7" borderId="1" xfId="0" applyFill="1" applyBorder="1"/>
    <xf numFmtId="0" fontId="0" fillId="8" borderId="1" xfId="0" applyFill="1" applyBorder="1"/>
    <xf numFmtId="0" fontId="5" fillId="7" borderId="1" xfId="0" applyFont="1" applyFill="1" applyBorder="1" applyAlignment="1">
      <alignment vertical="center" wrapText="1"/>
    </xf>
    <xf numFmtId="0" fontId="0" fillId="0" borderId="1" xfId="0" applyBorder="1" applyAlignment="1">
      <alignment vertical="center"/>
    </xf>
    <xf numFmtId="0" fontId="0" fillId="0" borderId="1" xfId="0" applyBorder="1" applyAlignment="1">
      <alignment vertical="center" wrapText="1"/>
    </xf>
    <xf numFmtId="164" fontId="0" fillId="0" borderId="1" xfId="0" applyNumberFormat="1" applyBorder="1" applyAlignment="1">
      <alignment vertical="center"/>
    </xf>
    <xf numFmtId="14" fontId="0" fillId="0" borderId="1" xfId="0" applyNumberFormat="1" applyBorder="1" applyAlignment="1">
      <alignment vertical="center"/>
    </xf>
    <xf numFmtId="0" fontId="12" fillId="0" borderId="1" xfId="0" applyFont="1" applyBorder="1" applyAlignment="1">
      <alignment vertical="center" wrapText="1"/>
    </xf>
    <xf numFmtId="0" fontId="12" fillId="7" borderId="1" xfId="0" applyFont="1" applyFill="1" applyBorder="1" applyAlignment="1">
      <alignment vertical="center" wrapText="1"/>
    </xf>
    <xf numFmtId="14" fontId="12" fillId="0" borderId="1" xfId="0" applyNumberFormat="1" applyFont="1" applyBorder="1" applyAlignment="1">
      <alignment vertical="center" wrapText="1"/>
    </xf>
    <xf numFmtId="0" fontId="0" fillId="7" borderId="1" xfId="0" applyFill="1" applyBorder="1" applyAlignment="1">
      <alignment wrapText="1"/>
    </xf>
    <xf numFmtId="164" fontId="0" fillId="0" borderId="1" xfId="0" applyNumberFormat="1" applyBorder="1" applyAlignment="1">
      <alignment wrapText="1"/>
    </xf>
    <xf numFmtId="0" fontId="0" fillId="0" borderId="1" xfId="0" applyBorder="1" applyAlignment="1">
      <alignment vertical="top" wrapText="1"/>
    </xf>
    <xf numFmtId="14" fontId="0" fillId="0" borderId="1" xfId="0" applyNumberFormat="1" applyBorder="1" applyAlignment="1">
      <alignment wrapText="1"/>
    </xf>
    <xf numFmtId="16" fontId="0" fillId="0" borderId="1" xfId="0" applyNumberFormat="1" applyBorder="1"/>
    <xf numFmtId="0" fontId="4" fillId="2" borderId="3" xfId="0" applyFont="1" applyFill="1" applyBorder="1" applyAlignment="1">
      <alignment horizontal="center" vertical="center" wrapText="1"/>
    </xf>
    <xf numFmtId="0" fontId="0" fillId="8" borderId="2" xfId="0" applyFill="1" applyBorder="1"/>
    <xf numFmtId="0" fontId="12" fillId="0" borderId="2" xfId="0" applyFont="1" applyBorder="1" applyAlignment="1">
      <alignment vertical="center" wrapText="1"/>
    </xf>
    <xf numFmtId="0" fontId="0" fillId="0" borderId="2" xfId="0" applyBorder="1" applyAlignment="1">
      <alignment wrapText="1"/>
    </xf>
    <xf numFmtId="0" fontId="0" fillId="0" borderId="2" xfId="0" applyBorder="1"/>
    <xf numFmtId="0" fontId="0" fillId="0" borderId="1" xfId="0" quotePrefix="1" applyBorder="1"/>
    <xf numFmtId="0" fontId="0" fillId="0" borderId="0" xfId="0" quotePrefix="1"/>
    <xf numFmtId="0" fontId="14" fillId="0" borderId="0" xfId="0" applyFont="1"/>
    <xf numFmtId="0" fontId="0" fillId="0" borderId="3" xfId="0" applyBorder="1"/>
    <xf numFmtId="0" fontId="0" fillId="0" borderId="3" xfId="0" applyBorder="1" applyAlignment="1">
      <alignment wrapText="1"/>
    </xf>
    <xf numFmtId="16" fontId="0" fillId="0" borderId="1" xfId="0" quotePrefix="1" applyNumberFormat="1" applyBorder="1" applyAlignment="1">
      <alignment wrapText="1"/>
    </xf>
    <xf numFmtId="164" fontId="0" fillId="0" borderId="1" xfId="0" quotePrefix="1" applyNumberFormat="1" applyBorder="1" applyAlignment="1">
      <alignment wrapText="1"/>
    </xf>
    <xf numFmtId="17" fontId="0" fillId="0" borderId="1" xfId="0" applyNumberFormat="1" applyBorder="1" applyAlignment="1">
      <alignment wrapText="1"/>
    </xf>
    <xf numFmtId="0" fontId="15" fillId="0" borderId="1" xfId="0" applyFont="1" applyBorder="1" applyAlignment="1">
      <alignment vertical="center" wrapText="1"/>
    </xf>
    <xf numFmtId="0" fontId="16" fillId="0" borderId="4" xfId="0" applyFont="1" applyBorder="1" applyAlignment="1">
      <alignment readingOrder="1"/>
    </xf>
    <xf numFmtId="0" fontId="17" fillId="0" borderId="0" xfId="0" applyFont="1"/>
    <xf numFmtId="0" fontId="18" fillId="0" borderId="4" xfId="0" applyFont="1" applyBorder="1" applyAlignment="1">
      <alignment horizontal="right" readingOrder="1"/>
    </xf>
    <xf numFmtId="2" fontId="18" fillId="0" borderId="4" xfId="0" applyNumberFormat="1" applyFont="1" applyBorder="1" applyAlignment="1">
      <alignment horizontal="right" readingOrder="1"/>
    </xf>
    <xf numFmtId="0" fontId="0" fillId="9" borderId="1" xfId="0" applyFill="1" applyBorder="1" applyAlignment="1">
      <alignment wrapText="1"/>
    </xf>
    <xf numFmtId="0" fontId="0" fillId="10" borderId="1" xfId="0" applyFill="1" applyBorder="1" applyAlignment="1">
      <alignment wrapText="1"/>
    </xf>
    <xf numFmtId="0" fontId="11" fillId="9" borderId="3" xfId="0" applyFont="1" applyFill="1" applyBorder="1" applyAlignment="1">
      <alignment vertical="center" wrapText="1" readingOrder="1"/>
    </xf>
    <xf numFmtId="0" fontId="19" fillId="0" borderId="1" xfId="0" applyFont="1" applyBorder="1"/>
    <xf numFmtId="0" fontId="0" fillId="0" borderId="6" xfId="0" applyBorder="1"/>
    <xf numFmtId="0" fontId="0" fillId="0" borderId="5" xfId="0" applyBorder="1"/>
    <xf numFmtId="0" fontId="0" fillId="0" borderId="7" xfId="0" applyBorder="1"/>
    <xf numFmtId="0" fontId="10" fillId="0" borderId="0" xfId="1" applyAlignment="1">
      <alignment vertical="center"/>
    </xf>
    <xf numFmtId="0" fontId="0" fillId="11" borderId="1" xfId="0" applyFill="1" applyBorder="1"/>
    <xf numFmtId="0" fontId="10" fillId="11" borderId="0" xfId="1" applyFill="1" applyAlignment="1">
      <alignment vertical="center"/>
    </xf>
    <xf numFmtId="0" fontId="0" fillId="11" borderId="5" xfId="0" applyFill="1" applyBorder="1"/>
    <xf numFmtId="0" fontId="10" fillId="0" borderId="8" xfId="1" applyBorder="1" applyAlignment="1">
      <alignment vertical="center"/>
    </xf>
    <xf numFmtId="0" fontId="10" fillId="0" borderId="7" xfId="1" applyBorder="1" applyAlignment="1">
      <alignment vertical="center"/>
    </xf>
    <xf numFmtId="0" fontId="10" fillId="0" borderId="0" xfId="1"/>
    <xf numFmtId="0" fontId="10" fillId="9" borderId="0" xfId="1" applyFill="1"/>
    <xf numFmtId="0" fontId="10" fillId="10" borderId="0" xfId="1" applyFill="1"/>
    <xf numFmtId="0" fontId="0" fillId="9" borderId="1" xfId="0" applyFill="1" applyBorder="1"/>
    <xf numFmtId="0" fontId="0" fillId="0" borderId="9" xfId="0" applyBorder="1"/>
    <xf numFmtId="0" fontId="10" fillId="10" borderId="7" xfId="1" applyFill="1" applyBorder="1"/>
    <xf numFmtId="0" fontId="10" fillId="0" borderId="7" xfId="1" applyBorder="1"/>
    <xf numFmtId="0" fontId="10" fillId="10" borderId="8" xfId="1" applyFill="1" applyBorder="1"/>
    <xf numFmtId="0" fontId="10" fillId="0" borderId="8" xfId="1" applyBorder="1"/>
    <xf numFmtId="0" fontId="10" fillId="7" borderId="6" xfId="1" applyFill="1" applyBorder="1"/>
    <xf numFmtId="0" fontId="10" fillId="10" borderId="1" xfId="1" applyFill="1" applyBorder="1"/>
    <xf numFmtId="0" fontId="10" fillId="7" borderId="0" xfId="1" applyFill="1"/>
    <xf numFmtId="0" fontId="0" fillId="10" borderId="5" xfId="0" applyFill="1" applyBorder="1"/>
    <xf numFmtId="0" fontId="1" fillId="0" borderId="1" xfId="0" applyFont="1" applyBorder="1"/>
    <xf numFmtId="164" fontId="1" fillId="0" borderId="1" xfId="0" applyNumberFormat="1" applyFont="1" applyBorder="1"/>
    <xf numFmtId="14" fontId="1" fillId="0" borderId="1" xfId="0" applyNumberFormat="1" applyFont="1" applyBorder="1"/>
    <xf numFmtId="0" fontId="1" fillId="0" borderId="1" xfId="0" applyFont="1" applyBorder="1" applyAlignment="1">
      <alignment wrapText="1"/>
    </xf>
    <xf numFmtId="0" fontId="8" fillId="0" borderId="0" xfId="0" applyFont="1"/>
    <xf numFmtId="0" fontId="0" fillId="0" borderId="0" xfId="0"/>
    <xf numFmtId="0" fontId="4" fillId="2" borderId="0" xfId="0" applyFont="1" applyFill="1"/>
    <xf numFmtId="0" fontId="4" fillId="4" borderId="0" xfId="0" applyFont="1" applyFill="1"/>
    <xf numFmtId="0" fontId="2" fillId="0" borderId="0" xfId="0" applyFont="1"/>
    <xf numFmtId="0" fontId="4" fillId="6" borderId="0" xfId="0" applyFont="1" applyFill="1"/>
    <xf numFmtId="0" fontId="13" fillId="0" borderId="1" xfId="0" applyFont="1" applyBorder="1" applyAlignment="1">
      <alignment horizontal="center"/>
    </xf>
    <xf numFmtId="0" fontId="0" fillId="0" borderId="0" xfId="0" applyAlignment="1">
      <alignment horizontal="center" vertical="center" wrapText="1"/>
    </xf>
    <xf numFmtId="0" fontId="10" fillId="0" borderId="1" xfId="1" applyBorder="1"/>
    <xf numFmtId="0" fontId="10" fillId="0" borderId="5" xfId="1" applyBorder="1"/>
    <xf numFmtId="0" fontId="21" fillId="0" borderId="0" xfId="0" applyFont="1"/>
    <xf numFmtId="0" fontId="10" fillId="9" borderId="1" xfId="1" applyFill="1" applyBorder="1"/>
    <xf numFmtId="0" fontId="22" fillId="12" borderId="10" xfId="0" applyFont="1" applyFill="1" applyBorder="1" applyAlignment="1">
      <alignment wrapText="1"/>
    </xf>
    <xf numFmtId="0" fontId="22" fillId="13" borderId="10" xfId="0" applyFont="1" applyFill="1" applyBorder="1" applyAlignment="1">
      <alignment wrapText="1"/>
    </xf>
    <xf numFmtId="0" fontId="10" fillId="9" borderId="5" xfId="1" applyFill="1" applyBorder="1"/>
    <xf numFmtId="0" fontId="0" fillId="0" borderId="5" xfId="0" applyFill="1" applyBorder="1"/>
    <xf numFmtId="0" fontId="22" fillId="0" borderId="10" xfId="0" applyFont="1" applyFill="1" applyBorder="1" applyAlignment="1">
      <alignment wrapText="1"/>
    </xf>
    <xf numFmtId="0" fontId="0" fillId="0" borderId="6" xfId="0" applyFill="1" applyBorder="1"/>
    <xf numFmtId="0" fontId="0" fillId="0" borderId="1" xfId="0" applyFill="1" applyBorder="1"/>
    <xf numFmtId="0" fontId="0" fillId="0" borderId="11" xfId="0" applyFill="1" applyBorder="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https://www.buyrai.eu/" TargetMode="External"/><Relationship Id="rId2" Type="http://schemas.openxmlformats.org/officeDocument/2006/relationships/hyperlink" Target="https://ghostaccounts.vercel.app/de" TargetMode="External"/><Relationship Id="rId1" Type="http://schemas.openxmlformats.org/officeDocument/2006/relationships/hyperlink" Target="https://www.google.com/search?q=WeddingPlanner.com,%20The%20Knot,%20klassische%20Excel-Templates,%20spezialisierte%20Hochzeitsagenturen" TargetMode="External"/><Relationship Id="rId5" Type="http://schemas.openxmlformats.org/officeDocument/2006/relationships/printerSettings" Target="../printerSettings/printerSettings1.bin"/><Relationship Id="rId4" Type="http://schemas.openxmlformats.org/officeDocument/2006/relationships/hyperlink" Target="http://www.momentum-marketing.app/"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aiaway.de/auth/login" TargetMode="External"/><Relationship Id="rId21" Type="http://schemas.openxmlformats.org/officeDocument/2006/relationships/hyperlink" Target="https://github.com/Wamocon/away" TargetMode="External"/><Relationship Id="rId42" Type="http://schemas.openxmlformats.org/officeDocument/2006/relationships/hyperlink" Target="https://github.com/Wamocon/cardscan" TargetMode="External"/><Relationship Id="rId63" Type="http://schemas.openxmlformats.org/officeDocument/2006/relationships/hyperlink" Target="https://wamocon.github.io/LocalForge_lp/" TargetMode="External"/><Relationship Id="rId84" Type="http://schemas.openxmlformats.org/officeDocument/2006/relationships/hyperlink" Target="../../../../../../../:f:/p/waleri_moretz/IgDAAXFnWO8mQKjC3Oi83fgZAU9Gg8WZT92gykvPQmaeuH8?e=xLeChc" TargetMode="External"/><Relationship Id="rId138" Type="http://schemas.openxmlformats.org/officeDocument/2006/relationships/hyperlink" Target="https://redesigned-guide-v3ypon5.pages.github.io/" TargetMode="External"/><Relationship Id="rId159" Type="http://schemas.openxmlformats.org/officeDocument/2006/relationships/hyperlink" Target="https://www.backofficeassistent.eu/de/handbook" TargetMode="External"/><Relationship Id="rId170" Type="http://schemas.openxmlformats.org/officeDocument/2006/relationships/hyperlink" Target="https://wamocon-my.sharepoint.com/:w:/p/waleri_moretz/IQCXV3rsjADbTL8UdBPG9YYSAf6NZU_bvINdMZgPatX__S8?e=mAsynT" TargetMode="External"/><Relationship Id="rId107" Type="http://schemas.openxmlformats.org/officeDocument/2006/relationships/hyperlink" Target="../../../../../../../:f:/p/waleri_moretz/IgDz-Gd8wBUxTKOhu9Un7bajAXmZDdIpzIRw2iEmuCwEcgc?e=6vToHT" TargetMode="External"/><Relationship Id="rId11" Type="http://schemas.openxmlformats.org/officeDocument/2006/relationships/hyperlink" Target="https://github.com/Wamocon/Universal_Inventory_Manager" TargetMode="External"/><Relationship Id="rId32" Type="http://schemas.openxmlformats.org/officeDocument/2006/relationships/hyperlink" Target="https://github.com/Wamocon/ghostaccounts" TargetMode="External"/><Relationship Id="rId53" Type="http://schemas.openxmlformats.org/officeDocument/2006/relationships/hyperlink" Target="https://wamocon.github.io/hochzeitsrechner_lp/" TargetMode="External"/><Relationship Id="rId74" Type="http://schemas.openxmlformats.org/officeDocument/2006/relationships/hyperlink" Target="https://wamocon.github.io/cardscan_lp/" TargetMode="External"/><Relationship Id="rId128" Type="http://schemas.openxmlformats.org/officeDocument/2006/relationships/hyperlink" Target="https://produkthandbuch.ladekompass.com/" TargetMode="External"/><Relationship Id="rId149" Type="http://schemas.openxmlformats.org/officeDocument/2006/relationships/hyperlink" Target="../../../../../../../:f:/p/waleri_moretz/IgDtk-TEwqsBQL6caNS8NRiKAVCC9r7ldxEcJuG2inWli3k?e=1bgbgu" TargetMode="External"/><Relationship Id="rId5" Type="http://schemas.openxmlformats.org/officeDocument/2006/relationships/hyperlink" Target="https://github.com/Wamocon/wedbudget" TargetMode="External"/><Relationship Id="rId95" Type="http://schemas.openxmlformats.org/officeDocument/2006/relationships/hyperlink" Target="../../../../../../../:f:/p/waleri_moretz/IgAW9ROMTzzzSLW5hIHQ6k7EATC2O6MZJ9t08WD9Efg2EAw?e=eECNX1" TargetMode="External"/><Relationship Id="rId160" Type="http://schemas.openxmlformats.org/officeDocument/2006/relationships/hyperlink" Target="https://ki-prufungstrainer.vercel.app/de" TargetMode="External"/><Relationship Id="rId22" Type="http://schemas.openxmlformats.org/officeDocument/2006/relationships/hyperlink" Target="https://github.com/Wamocon/bedarfspilot" TargetMode="External"/><Relationship Id="rId43" Type="http://schemas.openxmlformats.org/officeDocument/2006/relationships/hyperlink" Target="https://github.com/Wamocon/treffpunkt" TargetMode="External"/><Relationship Id="rId64" Type="http://schemas.openxmlformats.org/officeDocument/2006/relationships/hyperlink" Target="https://wamocon.github.io/wg-planer_lp/" TargetMode="External"/><Relationship Id="rId118" Type="http://schemas.openxmlformats.org/officeDocument/2006/relationships/hyperlink" Target="https://www.buyrai.eu/" TargetMode="External"/><Relationship Id="rId139" Type="http://schemas.openxmlformats.org/officeDocument/2006/relationships/hyperlink" Target="https://landingpage.aiaway.de/" TargetMode="External"/><Relationship Id="rId85" Type="http://schemas.openxmlformats.org/officeDocument/2006/relationships/hyperlink" Target="../../../../../../../:f:/p/waleri_moretz/IgATkedckwhEQYUWuIKhMay3ASNCeu5l79qKJ4prRzsQahM?e=HPhQk0" TargetMode="External"/><Relationship Id="rId150" Type="http://schemas.openxmlformats.org/officeDocument/2006/relationships/hyperlink" Target="https://wamocon.github.io/TeamRadar/" TargetMode="External"/><Relationship Id="rId171" Type="http://schemas.openxmlformats.org/officeDocument/2006/relationships/hyperlink" Target="../../../../../../../:f:/p/waleri_moretz/IgBrNmJusbrrR56NJNqLefALAclkac3TAkWplrEl196Krig?e=Wb0fuX" TargetMode="External"/><Relationship Id="rId12" Type="http://schemas.openxmlformats.org/officeDocument/2006/relationships/hyperlink" Target="https://github.com/Wamocon/realityCheck" TargetMode="External"/><Relationship Id="rId33" Type="http://schemas.openxmlformats.org/officeDocument/2006/relationships/hyperlink" Target="https://github.com/Wamocon/stammfeuer" TargetMode="External"/><Relationship Id="rId108" Type="http://schemas.openxmlformats.org/officeDocument/2006/relationships/hyperlink" Target="../../../../../../../:f:/p/waleri_moretz/IgC0UEsd9w0HQYGVgFR8MZYhAbd5vlRwqVB_IMH0tQxFO2Y?e=x00f9Y" TargetMode="External"/><Relationship Id="rId129" Type="http://schemas.openxmlformats.org/officeDocument/2006/relationships/hyperlink" Target="https://www.ladekompass.com/de/" TargetMode="External"/><Relationship Id="rId54" Type="http://schemas.openxmlformats.org/officeDocument/2006/relationships/hyperlink" Target="https://redesigned-guide-v3ypon5.pages.github.io/" TargetMode="External"/><Relationship Id="rId75" Type="http://schemas.openxmlformats.org/officeDocument/2006/relationships/hyperlink" Target="../../../../../../../:f:/p/waleri_moretz/IgDoeV0bkCjAQpZANLT0zOesAf7CC3LDe4SKI9KdXn6yCAU?e=LdnEw4" TargetMode="External"/><Relationship Id="rId96" Type="http://schemas.openxmlformats.org/officeDocument/2006/relationships/hyperlink" Target="../../../../../../../:f:/p/waleri_moretz/IgBNeNNgIqfXQo1AqTKMHH6jASdBqs5A05y7OIhIKo5F428?e=nniK3h" TargetMode="External"/><Relationship Id="rId140" Type="http://schemas.openxmlformats.org/officeDocument/2006/relationships/hyperlink" Target="https://www.aiaway.de/auth/login" TargetMode="External"/><Relationship Id="rId161" Type="http://schemas.openxmlformats.org/officeDocument/2006/relationships/hyperlink" Target="https://ki-prufungstrainer.vercel.app/de/manual" TargetMode="External"/><Relationship Id="rId6" Type="http://schemas.openxmlformats.org/officeDocument/2006/relationships/hyperlink" Target="https://github.com/Wamocon/trace" TargetMode="External"/><Relationship Id="rId23" Type="http://schemas.openxmlformats.org/officeDocument/2006/relationships/hyperlink" Target="https://github.com/Wamocon/wartezeit-waechter" TargetMode="External"/><Relationship Id="rId28" Type="http://schemas.openxmlformats.org/officeDocument/2006/relationships/hyperlink" Target="https://github.com/Wamocon/Sirin" TargetMode="External"/><Relationship Id="rId49" Type="http://schemas.openxmlformats.org/officeDocument/2006/relationships/hyperlink" Target="https://curly-couscous-zg4j298.pages.github.io/" TargetMode="External"/><Relationship Id="rId114" Type="http://schemas.openxmlformats.org/officeDocument/2006/relationships/hyperlink" Target="https://wamocon.github.io/dailyecho_lp/" TargetMode="External"/><Relationship Id="rId119" Type="http://schemas.openxmlformats.org/officeDocument/2006/relationships/hyperlink" Target="https://wamocon.github.io/BuyRight-AI_lp/" TargetMode="External"/><Relationship Id="rId44" Type="http://schemas.openxmlformats.org/officeDocument/2006/relationships/hyperlink" Target="https://github.com/Wamocon/kinderpartyplaner" TargetMode="External"/><Relationship Id="rId60" Type="http://schemas.openxmlformats.org/officeDocument/2006/relationships/hyperlink" Target="https://wamocon.github.io/KI-Prufungstrainer_lp/" TargetMode="External"/><Relationship Id="rId65" Type="http://schemas.openxmlformats.org/officeDocument/2006/relationships/hyperlink" Target="https://wamocon.github.io/kitaradar_lp/" TargetMode="External"/><Relationship Id="rId81" Type="http://schemas.openxmlformats.org/officeDocument/2006/relationships/hyperlink" Target="../../../../../../../:f:/p/waleri_moretz/IgAurtnstp9ZTr8IEyzfCEw-AcmH9Fr9MU59VC3-J40_ko0?e=HH66D9" TargetMode="External"/><Relationship Id="rId86" Type="http://schemas.openxmlformats.org/officeDocument/2006/relationships/hyperlink" Target="../../../../../../../:f:/p/waleri_moretz/IgAafpfQgcG6S6l2OF4-0FOcASHZ9W1Y8LqlNGHNs0-YFyI?e=59Tbn9" TargetMode="External"/><Relationship Id="rId130" Type="http://schemas.openxmlformats.org/officeDocument/2006/relationships/hyperlink" Target="https://www.ahnenecho.eu/de/help/handbuch" TargetMode="External"/><Relationship Id="rId135" Type="http://schemas.openxmlformats.org/officeDocument/2006/relationships/hyperlink" Target="https://wamocon.github.io/parzella/manual/index.html" TargetMode="External"/><Relationship Id="rId151" Type="http://schemas.openxmlformats.org/officeDocument/2006/relationships/hyperlink" Target="https://teamradar.vercel.app/auth/login" TargetMode="External"/><Relationship Id="rId156" Type="http://schemas.openxmlformats.org/officeDocument/2006/relationships/hyperlink" Target="../../../../../../../:f:/p/waleri_moretz/IgASDDzn_SRdSZIjjLbPX0L3AW1o2tG7k-9fNg1t5Cpir84?e=xxoPTg" TargetMode="External"/><Relationship Id="rId177" Type="http://schemas.openxmlformats.org/officeDocument/2006/relationships/hyperlink" Target="https://belegnest.de/" TargetMode="External"/><Relationship Id="rId172" Type="http://schemas.openxmlformats.org/officeDocument/2006/relationships/hyperlink" Target="../../../../../../../:f:/p/waleri_moretz/IgBrNmJusbrrR56NJNqLefALAclkac3TAkWplrEl196Krig?e=Wb0fuX" TargetMode="External"/><Relationship Id="rId13" Type="http://schemas.openxmlformats.org/officeDocument/2006/relationships/hyperlink" Target="https://github.com/Wamocon/vertragsmanager" TargetMode="External"/><Relationship Id="rId18" Type="http://schemas.openxmlformats.org/officeDocument/2006/relationships/hyperlink" Target="https://github.com/Wamocon/ki-prufungstrainer" TargetMode="External"/><Relationship Id="rId39" Type="http://schemas.openxmlformats.org/officeDocument/2006/relationships/hyperlink" Target="https://github.com/Wamocon/belegbox" TargetMode="External"/><Relationship Id="rId109" Type="http://schemas.openxmlformats.org/officeDocument/2006/relationships/hyperlink" Target="https://www.kompetenzkompass.app/" TargetMode="External"/><Relationship Id="rId34" Type="http://schemas.openxmlformats.org/officeDocument/2006/relationships/hyperlink" Target="https://github.com/Wamocon/grundsteuerPruefer" TargetMode="External"/><Relationship Id="rId50" Type="http://schemas.openxmlformats.org/officeDocument/2006/relationships/hyperlink" Target="https://wamocon.github.io/meine_wohnung_lp_1/" TargetMode="External"/><Relationship Id="rId55" Type="http://schemas.openxmlformats.org/officeDocument/2006/relationships/hyperlink" Target="https://landingpage.aiaway.de/" TargetMode="External"/><Relationship Id="rId76" Type="http://schemas.openxmlformats.org/officeDocument/2006/relationships/hyperlink" Target="../../../../../../../:f:/p/waleri_moretz/IgD_wy2X73foTas3U8Zs7C3xAWruQePLbaU9dRfmVB6xHcU?e=aBm4DB" TargetMode="External"/><Relationship Id="rId97" Type="http://schemas.openxmlformats.org/officeDocument/2006/relationships/hyperlink" Target="../../../../../../../:f:/p/waleri_moretz/IgDymUR6RGC7SL7g3PAfjI2MAeYZzbgqu3IyA8LsYtV-948?e=Qj0XBh" TargetMode="External"/><Relationship Id="rId104" Type="http://schemas.openxmlformats.org/officeDocument/2006/relationships/hyperlink" Target="../../../../../../../:f:/p/waleri_moretz/IgACkqcG2h_SS40HEqAeVlVsAWp45MhjswUuP8ziARLE6L0?e=xGqnoX" TargetMode="External"/><Relationship Id="rId120" Type="http://schemas.openxmlformats.org/officeDocument/2006/relationships/hyperlink" Target="https://info.ahnenecho.eu/" TargetMode="External"/><Relationship Id="rId125" Type="http://schemas.openxmlformats.org/officeDocument/2006/relationships/hyperlink" Target="https://wamocon.github.io/TeamRadar/" TargetMode="External"/><Relationship Id="rId141" Type="http://schemas.openxmlformats.org/officeDocument/2006/relationships/hyperlink" Target="http://produkthandbuch.aiaway.de/" TargetMode="External"/><Relationship Id="rId146" Type="http://schemas.openxmlformats.org/officeDocument/2006/relationships/hyperlink" Target="../../../../../../../:f:/p/waleri_moretz/IgCajTz3g_6PRbH3dLzqAl8QAcBfGFbjFyjksLCiTJxrGtg?e=twHqiV" TargetMode="External"/><Relationship Id="rId167" Type="http://schemas.openxmlformats.org/officeDocument/2006/relationships/hyperlink" Target="https://wamocon-my.sharepoint.com/:w:/p/waleri_moretz/IQAv9JqnHSvXT74ECnvtTQHsAZJueauV-fj-MQ7is4V4BwE?e=Qi8QW8" TargetMode="External"/><Relationship Id="rId7" Type="http://schemas.openxmlformats.org/officeDocument/2006/relationships/hyperlink" Target="https://github.com/Wamocon/carman" TargetMode="External"/><Relationship Id="rId71" Type="http://schemas.openxmlformats.org/officeDocument/2006/relationships/hyperlink" Target="https://wamocon.github.io/Sirin_lp/" TargetMode="External"/><Relationship Id="rId92" Type="http://schemas.openxmlformats.org/officeDocument/2006/relationships/hyperlink" Target="../../../../../../../:f:/p/waleri_moretz/IgArnZFhHP4BQoGCoFUhv7_SAd1vLGwiqAGq8VvxPB1Z1dI?e=hU15zS" TargetMode="External"/><Relationship Id="rId162" Type="http://schemas.openxmlformats.org/officeDocument/2006/relationships/hyperlink" Target="https://www.cancard.eu/de" TargetMode="External"/><Relationship Id="rId2" Type="http://schemas.openxmlformats.org/officeDocument/2006/relationships/hyperlink" Target="https://github.com/Wamocon/plan-it" TargetMode="External"/><Relationship Id="rId29" Type="http://schemas.openxmlformats.org/officeDocument/2006/relationships/hyperlink" Target="https://github.com/Wamocon/vereinsping" TargetMode="External"/><Relationship Id="rId24" Type="http://schemas.openxmlformats.org/officeDocument/2006/relationships/hyperlink" Target="https://github.com/Wamocon/urbackup" TargetMode="External"/><Relationship Id="rId40" Type="http://schemas.openxmlformats.org/officeDocument/2006/relationships/hyperlink" Target="https://github.com/Wamocon/BuyRight-AI" TargetMode="External"/><Relationship Id="rId45" Type="http://schemas.openxmlformats.org/officeDocument/2006/relationships/hyperlink" Target="https://github.com/Wamocon/energy" TargetMode="External"/><Relationship Id="rId66" Type="http://schemas.openxmlformats.org/officeDocument/2006/relationships/hyperlink" Target="https://wamocon.github.io/schufacleaner_lp/" TargetMode="External"/><Relationship Id="rId87" Type="http://schemas.openxmlformats.org/officeDocument/2006/relationships/hyperlink" Target="../../../../../../../:f:/p/waleri_moretz/IgBQulYIDqD_QJnc6jM9l0Y8Ab6IM5bYmshQhgRztDsR3ag?e=s3pvF6" TargetMode="External"/><Relationship Id="rId110" Type="http://schemas.openxmlformats.org/officeDocument/2006/relationships/hyperlink" Target="https://www.momentum-marketing.app/" TargetMode="External"/><Relationship Id="rId115" Type="http://schemas.openxmlformats.org/officeDocument/2006/relationships/hyperlink" Target="https://github.com/Wamocon/ai_safeguard" TargetMode="External"/><Relationship Id="rId131" Type="http://schemas.openxmlformats.org/officeDocument/2006/relationships/hyperlink" Target="https://wamocon.github.io/kitaradar/manual/index.html" TargetMode="External"/><Relationship Id="rId136" Type="http://schemas.openxmlformats.org/officeDocument/2006/relationships/hyperlink" Target="https://vertragspro.eu/de" TargetMode="External"/><Relationship Id="rId157" Type="http://schemas.openxmlformats.org/officeDocument/2006/relationships/hyperlink" Target="https://meine-wohnung.vercel.app/handbook" TargetMode="External"/><Relationship Id="rId178" Type="http://schemas.openxmlformats.org/officeDocument/2006/relationships/printerSettings" Target="../printerSettings/printerSettings2.bin"/><Relationship Id="rId61" Type="http://schemas.openxmlformats.org/officeDocument/2006/relationships/hyperlink" Target="https://wamocon.github.io/bedarfspilot_lp/" TargetMode="External"/><Relationship Id="rId82" Type="http://schemas.openxmlformats.org/officeDocument/2006/relationships/hyperlink" Target="../../../../../../../:f:/p/waleri_moretz/IgDj4VOj3LGdRYTZgoQz8ZCZAfkbm70v6pAj5v_91udgWGg?e=vvBtjF" TargetMode="External"/><Relationship Id="rId152" Type="http://schemas.openxmlformats.org/officeDocument/2006/relationships/hyperlink" Target="https://github.com/Wamocon/TeamRadar" TargetMode="External"/><Relationship Id="rId173" Type="http://schemas.openxmlformats.org/officeDocument/2006/relationships/hyperlink" Target="../../../../../../../:f:/p/waleri_moretz/IgALKK1M317lQoJqnBk_Iut6AUuBvnr8xXtc3QMem-DoAWE?e=z8JfQj" TargetMode="External"/><Relationship Id="rId19" Type="http://schemas.openxmlformats.org/officeDocument/2006/relationships/hyperlink" Target="https://github.com/Wamocon/localforge" TargetMode="External"/><Relationship Id="rId14" Type="http://schemas.openxmlformats.org/officeDocument/2006/relationships/hyperlink" Target="https://github.com/Wamocon/backofficeassistent" TargetMode="External"/><Relationship Id="rId30" Type="http://schemas.openxmlformats.org/officeDocument/2006/relationships/hyperlink" Target="https://github.com/Wamocon/kitaradar" TargetMode="External"/><Relationship Id="rId35" Type="http://schemas.openxmlformats.org/officeDocument/2006/relationships/hyperlink" Target="https://github.com/Wamocon/rideproof" TargetMode="External"/><Relationship Id="rId56" Type="http://schemas.openxmlformats.org/officeDocument/2006/relationships/hyperlink" Target="https://wamocon.github.io/carman_lp/" TargetMode="External"/><Relationship Id="rId77" Type="http://schemas.openxmlformats.org/officeDocument/2006/relationships/hyperlink" Target="../../../../../../../:f:/p/waleri_moretz/IgDtk-TEwqsBQL6caNS8NRiKAVCC9r7ldxEcJuG2inWli3k?e=1bgbgu" TargetMode="External"/><Relationship Id="rId100" Type="http://schemas.openxmlformats.org/officeDocument/2006/relationships/hyperlink" Target="../../../../../../../:f:/p/waleri_moretz/IgAet9ywi9Z_QbF_jdmCn0kCAQ9B2p5C0CAc5uKD7tuFk5Y?e=jYRloq" TargetMode="External"/><Relationship Id="rId105" Type="http://schemas.openxmlformats.org/officeDocument/2006/relationships/hyperlink" Target="../../../../../../../:f:/p/waleri_moretz/IgAZrGwFbuMbT71UzxIOqobdAQKGL1V6pQ30wTwohhPCuQU?e=Pt8lyD" TargetMode="External"/><Relationship Id="rId126" Type="http://schemas.openxmlformats.org/officeDocument/2006/relationships/hyperlink" Target="http://produkthandbuch.aiaway.de/" TargetMode="External"/><Relationship Id="rId147" Type="http://schemas.openxmlformats.org/officeDocument/2006/relationships/hyperlink" Target="../../../../../../../:f:/p/waleri_moretz/IgCruOXndN3oRpABY2gr6pjuAcGRLWYklNw1ICOIUzQGcuw?e=jeRBEJ" TargetMode="External"/><Relationship Id="rId168" Type="http://schemas.openxmlformats.org/officeDocument/2006/relationships/hyperlink" Target="../../../../../../../:f:/p/waleri_moretz/IgAd6rrpdprqTqhxwe_4ovM9AZ1TDM-Tz8zPMZb2Sj-2Hnc?e=8snvHi" TargetMode="External"/><Relationship Id="rId8" Type="http://schemas.openxmlformats.org/officeDocument/2006/relationships/hyperlink" Target="https://github.com/Wamocon/KLAR" TargetMode="External"/><Relationship Id="rId51" Type="http://schemas.openxmlformats.org/officeDocument/2006/relationships/hyperlink" Target="https://wamocon.github.io/kompetenzkompass_lp/" TargetMode="External"/><Relationship Id="rId72" Type="http://schemas.openxmlformats.org/officeDocument/2006/relationships/hyperlink" Target="https://wamocon.github.io/parzella_lp/" TargetMode="External"/><Relationship Id="rId93" Type="http://schemas.openxmlformats.org/officeDocument/2006/relationships/hyperlink" Target="../../../../../../../:f:/p/waleri_moretz/IgA76Noy1uCCTbiSEKrPmSdPAafo5PGbLy0phkUu3naZpDg?e=MdfiTB" TargetMode="External"/><Relationship Id="rId98" Type="http://schemas.openxmlformats.org/officeDocument/2006/relationships/hyperlink" Target="../../../../../../../:f:/p/waleri_moretz/IgBMZ0EhnlvKRKzSUo6GJTvGAfWE6Y1iZCgtqDhliaYZzD8?e=Pzl1Fo" TargetMode="External"/><Relationship Id="rId121" Type="http://schemas.openxmlformats.org/officeDocument/2006/relationships/hyperlink" Target="https://info.baseguard.eu/" TargetMode="External"/><Relationship Id="rId142" Type="http://schemas.openxmlformats.org/officeDocument/2006/relationships/hyperlink" Target="https://trace-livid-kappa.vercel.app/auth/login" TargetMode="External"/><Relationship Id="rId163" Type="http://schemas.openxmlformats.org/officeDocument/2006/relationships/hyperlink" Target="https://www.cancard.eu/de/manual" TargetMode="External"/><Relationship Id="rId3" Type="http://schemas.openxmlformats.org/officeDocument/2006/relationships/hyperlink" Target="https://github.com/Wamocon/daily_echo" TargetMode="External"/><Relationship Id="rId25" Type="http://schemas.openxmlformats.org/officeDocument/2006/relationships/hyperlink" Target="https://github.com/Wamocon/backup_planner" TargetMode="External"/><Relationship Id="rId46" Type="http://schemas.openxmlformats.org/officeDocument/2006/relationships/hyperlink" Target="https://wamocon.github.io/plan-it_landing_page/" TargetMode="External"/><Relationship Id="rId67" Type="http://schemas.openxmlformats.org/officeDocument/2006/relationships/hyperlink" Target="https://wamocon.github.io/meinezielcollage_lp/" TargetMode="External"/><Relationship Id="rId116" Type="http://schemas.openxmlformats.org/officeDocument/2006/relationships/hyperlink" Target="https://wamocon.github.io/meine_wohnung_lp_1/" TargetMode="External"/><Relationship Id="rId137" Type="http://schemas.openxmlformats.org/officeDocument/2006/relationships/hyperlink" Target="https://wamocon.github.io/auktivo/manual/" TargetMode="External"/><Relationship Id="rId158" Type="http://schemas.openxmlformats.org/officeDocument/2006/relationships/hyperlink" Target="https://www.backofficeassistent.eu/" TargetMode="External"/><Relationship Id="rId20" Type="http://schemas.openxmlformats.org/officeDocument/2006/relationships/hyperlink" Target="https://github.com/Wamocon/wg-planer" TargetMode="External"/><Relationship Id="rId41" Type="http://schemas.openxmlformats.org/officeDocument/2006/relationships/hyperlink" Target="https://github.com/Wamocon/auktivo" TargetMode="External"/><Relationship Id="rId62" Type="http://schemas.openxmlformats.org/officeDocument/2006/relationships/hyperlink" Target="https://wamocon.github.io/wartezeit-waechter_lp/" TargetMode="External"/><Relationship Id="rId83" Type="http://schemas.openxmlformats.org/officeDocument/2006/relationships/hyperlink" Target="../../../../../../../:f:/p/waleri_moretz/IgCZXwvJGelIR5TALiWQty-6AaEUJ7ghMWnAn8SRizs4NXs?e=I46g3a" TargetMode="External"/><Relationship Id="rId88" Type="http://schemas.openxmlformats.org/officeDocument/2006/relationships/hyperlink" Target="../../../../../../../:f:/p/waleri_moretz/IgCJGMvjvb9XSoXeTvE9rbZtAS0mA4Rv57g7ItMI_E7s4ms?e=HacDkx" TargetMode="External"/><Relationship Id="rId111" Type="http://schemas.openxmlformats.org/officeDocument/2006/relationships/hyperlink" Target="http://verwa.eu/" TargetMode="External"/><Relationship Id="rId132" Type="http://schemas.openxmlformats.org/officeDocument/2006/relationships/hyperlink" Target="../../../../../_layouts/15/onedrive.aspx?id=%2Fpersonal%2Fwaleri%5Fmoretz%5Fwamocon%5Fcom%2FDocuments%2F01%5FWMC%2F06%20Management%2F06%2D01%20Projekt%2F06%2D01%2D24%20WMC%20App%20Zentrale%2FWelle%5F03%2Fdaily%20echo&amp;viewid=6e86f4bd%2D8476%2D4fa5%2Dad74%2D5e1cf1eedc8b" TargetMode="External"/><Relationship Id="rId153" Type="http://schemas.openxmlformats.org/officeDocument/2006/relationships/hyperlink" Target="https://www.rideproof.eu/de" TargetMode="External"/><Relationship Id="rId174" Type="http://schemas.openxmlformats.org/officeDocument/2006/relationships/hyperlink" Target="https://wamocon-my.sharepoint.com/:w:/p/waleri_moretz/IQBEugVIJ3YlT5NJyx3aUocUAe53bgeICXVsHKWwinrckpc?e=bStZFQ" TargetMode="External"/><Relationship Id="rId15" Type="http://schemas.openxmlformats.org/officeDocument/2006/relationships/hyperlink" Target="https://github.com/Wamocon/ladeKompass" TargetMode="External"/><Relationship Id="rId36" Type="http://schemas.openxmlformats.org/officeDocument/2006/relationships/hyperlink" Target="https://github.com/Wamocon/makeartalanya-app" TargetMode="External"/><Relationship Id="rId57" Type="http://schemas.openxmlformats.org/officeDocument/2006/relationships/hyperlink" Target="https://landingpage.ladekompass.com/" TargetMode="External"/><Relationship Id="rId106" Type="http://schemas.openxmlformats.org/officeDocument/2006/relationships/hyperlink" Target="../../../../../../../:f:/p/waleri_moretz/IgAeMafDl48jQZJWEbxHs2t2AetonRu_t3FU5b6Sa7KK20A?e=XELsMC" TargetMode="External"/><Relationship Id="rId127" Type="http://schemas.openxmlformats.org/officeDocument/2006/relationships/hyperlink" Target="https://wamocon.github.io/trace/" TargetMode="External"/><Relationship Id="rId10" Type="http://schemas.openxmlformats.org/officeDocument/2006/relationships/hyperlink" Target="https://github.com/Wamocon/TeamRadar" TargetMode="External"/><Relationship Id="rId31" Type="http://schemas.openxmlformats.org/officeDocument/2006/relationships/hyperlink" Target="https://github.com/Wamocon/schufacleaner" TargetMode="External"/><Relationship Id="rId52" Type="http://schemas.openxmlformats.org/officeDocument/2006/relationships/hyperlink" Target="https://backuppilot.app/login" TargetMode="External"/><Relationship Id="rId73" Type="http://schemas.openxmlformats.org/officeDocument/2006/relationships/hyperlink" Target="https://wamocon.github.io/auktivo_lp/" TargetMode="External"/><Relationship Id="rId78" Type="http://schemas.openxmlformats.org/officeDocument/2006/relationships/hyperlink" Target="../../../../../../../:f:/p/waleri_moretz/IgAQNIKFimP0SqZIBKQyN9sWAbKhlnljrolgnmvOluJaMX8?e=3q1L8o" TargetMode="External"/><Relationship Id="rId94" Type="http://schemas.openxmlformats.org/officeDocument/2006/relationships/hyperlink" Target="../../../../../../../:f:/p/waleri_moretz/IgAxZK3-tMbQQblMCm4LLYTHAd3Ugs62Nad2ni3gvWeWD1Y?e=b7YI91" TargetMode="External"/><Relationship Id="rId99" Type="http://schemas.openxmlformats.org/officeDocument/2006/relationships/hyperlink" Target="../../../../../../../:f:/p/waleri_moretz/IgBizQPZICAaQokzVFaDSVGeAZHL3HgZjB_2F3FQkiyr8Fc?e=HbPYHf" TargetMode="External"/><Relationship Id="rId101" Type="http://schemas.openxmlformats.org/officeDocument/2006/relationships/hyperlink" Target="../../../../../../../:f:/p/waleri_moretz/IgD8L5PUwFZ1Qbc8PRO4w3OJAbyNhmsttaKjqeE0ZDfHgmc?e=aPJJgr" TargetMode="External"/><Relationship Id="rId122" Type="http://schemas.openxmlformats.org/officeDocument/2006/relationships/hyperlink" Target="https://www.baseguard.eu/de" TargetMode="External"/><Relationship Id="rId143" Type="http://schemas.openxmlformats.org/officeDocument/2006/relationships/hyperlink" Target="https://wamocon.github.io/trace/" TargetMode="External"/><Relationship Id="rId148" Type="http://schemas.openxmlformats.org/officeDocument/2006/relationships/hyperlink" Target="https://curly-couscous-zg4j298.pages.github.io/" TargetMode="External"/><Relationship Id="rId164" Type="http://schemas.openxmlformats.org/officeDocument/2006/relationships/hyperlink" Target="https://wgplaner.vercel.app/de" TargetMode="External"/><Relationship Id="rId169" Type="http://schemas.openxmlformats.org/officeDocument/2006/relationships/hyperlink" Target="https://wamocon-my.sharepoint.com/:w:/p/waleri_moretz/IQCXV3rsjADbTL8UdBPG9YYSAf6NZU_bvINdMZgPatX__S8?e=mAsynT" TargetMode="External"/><Relationship Id="rId4" Type="http://schemas.openxmlformats.org/officeDocument/2006/relationships/hyperlink" Target="https://github.com/Wamocon/ustafix.app" TargetMode="External"/><Relationship Id="rId9" Type="http://schemas.openxmlformats.org/officeDocument/2006/relationships/hyperlink" Target="https://github.com/Wamocon/meine_wohnung" TargetMode="External"/><Relationship Id="rId26" Type="http://schemas.openxmlformats.org/officeDocument/2006/relationships/hyperlink" Target="https://github.com/Wamocon/skillmapper" TargetMode="External"/><Relationship Id="rId47" Type="http://schemas.openxmlformats.org/officeDocument/2006/relationships/hyperlink" Target="https://wamocon.github.io/momentum_marketing_landingpage/" TargetMode="External"/><Relationship Id="rId68" Type="http://schemas.openxmlformats.org/officeDocument/2006/relationships/hyperlink" Target="https://wamocon.github.io/treffpunkt_lp/" TargetMode="External"/><Relationship Id="rId89" Type="http://schemas.openxmlformats.org/officeDocument/2006/relationships/hyperlink" Target="../../../../../../../:f:/p/waleri_moretz/IgD0RZFc6LT8Q4CfluaD2Jc6AcHw0JGQ36xDd7OsB4gvO8I?e=HBOjPd" TargetMode="External"/><Relationship Id="rId112" Type="http://schemas.openxmlformats.org/officeDocument/2006/relationships/hyperlink" Target="http://bedarfspilot.de/" TargetMode="External"/><Relationship Id="rId133" Type="http://schemas.openxmlformats.org/officeDocument/2006/relationships/hyperlink" Target="https://wamocon.github.io/schufacleaner/manual/index.html" TargetMode="External"/><Relationship Id="rId154" Type="http://schemas.openxmlformats.org/officeDocument/2006/relationships/hyperlink" Target="https://wamocon-my.sharepoint.com/:w:/p/waleri_moretz/IQDsEi5_4wTyRZppBlDfyPdZAcgxtOP_qrJwZf4D3LhGp9s?e=qMxXa2" TargetMode="External"/><Relationship Id="rId175" Type="http://schemas.openxmlformats.org/officeDocument/2006/relationships/hyperlink" Target="../../../../../../../:f:/p/waleri_moretz/IgDugybgNFkFTLVO-haATFU8Ada5fyht01xE-5nougGnAjw?e=3RdRmn" TargetMode="External"/><Relationship Id="rId16" Type="http://schemas.openxmlformats.org/officeDocument/2006/relationships/hyperlink" Target="https://github.com/Wamocon/marketing_powerhouse" TargetMode="External"/><Relationship Id="rId37" Type="http://schemas.openxmlformats.org/officeDocument/2006/relationships/hyperlink" Target="https://github.com/Wamocon/parzella" TargetMode="External"/><Relationship Id="rId58" Type="http://schemas.openxmlformats.org/officeDocument/2006/relationships/hyperlink" Target="https://wamocon.github.io/backofficeassistent_lp/" TargetMode="External"/><Relationship Id="rId79" Type="http://schemas.openxmlformats.org/officeDocument/2006/relationships/hyperlink" Target="../../../../../../../:f:/p/waleri_moretz/IgCkEBmINOYiRp-T8afJLEnyAexK9WAx26jOUhRFDaToQEs?e=qJCl4x" TargetMode="External"/><Relationship Id="rId102" Type="http://schemas.openxmlformats.org/officeDocument/2006/relationships/hyperlink" Target="../../../../../../../:f:/p/waleri_moretz/IgDvMLVb_fhdQqJzxJGGeA7gAb6HzYEsW6YuPPpHVC5Pnro?e=zfz2Gy" TargetMode="External"/><Relationship Id="rId123" Type="http://schemas.openxmlformats.org/officeDocument/2006/relationships/hyperlink" Target="https://ahnenecho.eu/de" TargetMode="External"/><Relationship Id="rId144" Type="http://schemas.openxmlformats.org/officeDocument/2006/relationships/hyperlink" Target="https://github.com/Wamocon/trace" TargetMode="External"/><Relationship Id="rId90" Type="http://schemas.openxmlformats.org/officeDocument/2006/relationships/hyperlink" Target="../../../../../../../:f:/p/waleri_moretz/IgB6iKCoZLK-R5joN7eajRFRAWt0xeEQ1HrYN9hXtp1r6hc?e=l6iibZ" TargetMode="External"/><Relationship Id="rId165" Type="http://schemas.openxmlformats.org/officeDocument/2006/relationships/hyperlink" Target="https://wgplaner.vercel.app/en/manual" TargetMode="External"/><Relationship Id="rId27" Type="http://schemas.openxmlformats.org/officeDocument/2006/relationships/hyperlink" Target="https://github.com/Wamocon/meinezielcollage" TargetMode="External"/><Relationship Id="rId48" Type="http://schemas.openxmlformats.org/officeDocument/2006/relationships/hyperlink" Target="https://www.dailyecho.app/login" TargetMode="External"/><Relationship Id="rId69" Type="http://schemas.openxmlformats.org/officeDocument/2006/relationships/hyperlink" Target="https://wamocon.github.io/ghostaccounts_lp/" TargetMode="External"/><Relationship Id="rId113" Type="http://schemas.openxmlformats.org/officeDocument/2006/relationships/hyperlink" Target="http://info.backuppilot.app/" TargetMode="External"/><Relationship Id="rId134" Type="http://schemas.openxmlformats.org/officeDocument/2006/relationships/hyperlink" Target="https://www.dailyecho.app/help" TargetMode="External"/><Relationship Id="rId80" Type="http://schemas.openxmlformats.org/officeDocument/2006/relationships/hyperlink" Target="../../../../../../../:f:/p/waleri_moretz/IgASDDzn_SRdSZIjjLbPX0L3AW1o2tG7k-9fNg1t5Cpir84?e=xxoPTg" TargetMode="External"/><Relationship Id="rId155" Type="http://schemas.openxmlformats.org/officeDocument/2006/relationships/hyperlink" Target="https://meine-wohnung.vercel.app/handbook" TargetMode="External"/><Relationship Id="rId176" Type="http://schemas.openxmlformats.org/officeDocument/2006/relationships/hyperlink" Target="https://www.geburtstagspilot.de/" TargetMode="External"/><Relationship Id="rId17" Type="http://schemas.openxmlformats.org/officeDocument/2006/relationships/hyperlink" Target="https://github.com/Wamocon/ARIA" TargetMode="External"/><Relationship Id="rId38" Type="http://schemas.openxmlformats.org/officeDocument/2006/relationships/hyperlink" Target="https://github.com/Wamocon/WMC-Anforderungsportal" TargetMode="External"/><Relationship Id="rId59" Type="http://schemas.openxmlformats.org/officeDocument/2006/relationships/hyperlink" Target="https://wamocon.github.io/vertragsmanager_lp/" TargetMode="External"/><Relationship Id="rId103" Type="http://schemas.openxmlformats.org/officeDocument/2006/relationships/hyperlink" Target="../../../../../../../:f:/p/waleri_moretz/IgBOT-UPAN8sRLsJrP3RuiHGATB_S_8EgO-x1kU3flCy4CA?e=II5TSb" TargetMode="External"/><Relationship Id="rId124" Type="http://schemas.openxmlformats.org/officeDocument/2006/relationships/hyperlink" Target="https://wamocon.github.io/plan-it/" TargetMode="External"/><Relationship Id="rId70" Type="http://schemas.openxmlformats.org/officeDocument/2006/relationships/hyperlink" Target="https://wamocon.github.io/vereinsping_lp/" TargetMode="External"/><Relationship Id="rId91" Type="http://schemas.openxmlformats.org/officeDocument/2006/relationships/hyperlink" Target="../../../../../../../:f:/p/waleri_moretz/IgA2P2ahQW2zRIlOA9BA4tuUAQRzOZhSPNJcfhkIfeRJpEs?e=tciSXk" TargetMode="External"/><Relationship Id="rId145" Type="http://schemas.openxmlformats.org/officeDocument/2006/relationships/hyperlink" Target="https://github.com/Wamocon/away" TargetMode="External"/><Relationship Id="rId166" Type="http://schemas.openxmlformats.org/officeDocument/2006/relationships/hyperlink" Target="https://meine-wohnung.vercel.app/" TargetMode="External"/><Relationship Id="rId1" Type="http://schemas.openxmlformats.org/officeDocument/2006/relationships/hyperlink" Target="https://github.com/Wamocon/KI-Manager-LM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1"/>
  <sheetViews>
    <sheetView topLeftCell="A11" workbookViewId="0">
      <selection activeCell="A11" sqref="A11"/>
    </sheetView>
  </sheetViews>
  <sheetFormatPr baseColWidth="10" defaultColWidth="8.7265625" defaultRowHeight="14.5"/>
  <cols>
    <col min="1" max="1" width="80" customWidth="1"/>
  </cols>
  <sheetData>
    <row r="1" spans="1:4" ht="21">
      <c r="A1" s="89" t="s">
        <v>0</v>
      </c>
      <c r="B1" s="90"/>
      <c r="C1" s="90"/>
      <c r="D1" s="90"/>
    </row>
    <row r="2" spans="1:4">
      <c r="A2" s="9"/>
    </row>
    <row r="3" spans="1:4">
      <c r="A3" s="10" t="s">
        <v>1</v>
      </c>
    </row>
    <row r="4" spans="1:4">
      <c r="A4" s="9" t="s">
        <v>2</v>
      </c>
    </row>
    <row r="5" spans="1:4">
      <c r="A5" s="9" t="s">
        <v>3</v>
      </c>
    </row>
    <row r="6" spans="1:4">
      <c r="A6" s="9"/>
    </row>
    <row r="7" spans="1:4">
      <c r="A7" s="10" t="s">
        <v>4</v>
      </c>
    </row>
    <row r="8" spans="1:4">
      <c r="A8" s="9" t="s">
        <v>5</v>
      </c>
    </row>
    <row r="9" spans="1:4">
      <c r="A9" s="9" t="s">
        <v>6</v>
      </c>
    </row>
    <row r="10" spans="1:4">
      <c r="A10" s="9" t="s">
        <v>7</v>
      </c>
    </row>
    <row r="11" spans="1:4">
      <c r="A11" s="9" t="s">
        <v>8</v>
      </c>
    </row>
    <row r="12" spans="1:4">
      <c r="A12" s="9"/>
    </row>
    <row r="13" spans="1:4">
      <c r="A13" s="10" t="s">
        <v>9</v>
      </c>
    </row>
    <row r="14" spans="1:4">
      <c r="A14" s="9"/>
    </row>
    <row r="15" spans="1:4">
      <c r="A15" s="9" t="s">
        <v>10</v>
      </c>
    </row>
    <row r="16" spans="1:4">
      <c r="A16" s="9" t="s">
        <v>11</v>
      </c>
    </row>
    <row r="17" spans="1:1">
      <c r="A17" s="9" t="s">
        <v>12</v>
      </c>
    </row>
    <row r="18" spans="1:1">
      <c r="A18" s="9" t="s">
        <v>13</v>
      </c>
    </row>
    <row r="19" spans="1:1">
      <c r="A19" s="9" t="s">
        <v>14</v>
      </c>
    </row>
    <row r="20" spans="1:1">
      <c r="A20" s="9"/>
    </row>
    <row r="21" spans="1:1">
      <c r="A21" s="9" t="s">
        <v>15</v>
      </c>
    </row>
    <row r="22" spans="1:1">
      <c r="A22" s="9"/>
    </row>
    <row r="23" spans="1:1">
      <c r="A23" s="10" t="s">
        <v>16</v>
      </c>
    </row>
    <row r="24" spans="1:1">
      <c r="A24" s="9" t="e">
        <f>(Marktpotenzial + Dringlichkeit + Machbarkeit) * (10 - Wettbewerb) / 30</f>
        <v>#NAME?</v>
      </c>
    </row>
    <row r="25" spans="1:1">
      <c r="A25" s="9"/>
    </row>
    <row r="26" spans="1:1">
      <c r="A26" s="9" t="s">
        <v>17</v>
      </c>
    </row>
    <row r="27" spans="1:1">
      <c r="A27" s="9" t="s">
        <v>18</v>
      </c>
    </row>
    <row r="28" spans="1:1">
      <c r="A28" s="9"/>
    </row>
    <row r="29" spans="1:1">
      <c r="A29" s="9" t="s">
        <v>19</v>
      </c>
    </row>
    <row r="30" spans="1:1">
      <c r="A30" s="9" t="s">
        <v>20</v>
      </c>
    </row>
    <row r="31" spans="1:1">
      <c r="A31" s="9" t="s">
        <v>21</v>
      </c>
    </row>
    <row r="32" spans="1:1">
      <c r="A32" s="9" t="s">
        <v>22</v>
      </c>
    </row>
    <row r="33" spans="1:1">
      <c r="A33" s="9" t="s">
        <v>23</v>
      </c>
    </row>
    <row r="34" spans="1:1">
      <c r="A34" s="9"/>
    </row>
    <row r="35" spans="1:1">
      <c r="A35" s="9" t="s">
        <v>24</v>
      </c>
    </row>
    <row r="36" spans="1:1">
      <c r="A36" s="9" t="s">
        <v>25</v>
      </c>
    </row>
    <row r="37" spans="1:1">
      <c r="A37" s="9" t="s">
        <v>26</v>
      </c>
    </row>
    <row r="38" spans="1:1">
      <c r="A38" s="9" t="s">
        <v>27</v>
      </c>
    </row>
    <row r="39" spans="1:1">
      <c r="A39" s="9" t="s">
        <v>28</v>
      </c>
    </row>
    <row r="40" spans="1:1">
      <c r="A40" s="9"/>
    </row>
    <row r="41" spans="1:1">
      <c r="A41" s="10" t="s">
        <v>29</v>
      </c>
    </row>
    <row r="42" spans="1:1">
      <c r="A42" s="9" t="s">
        <v>30</v>
      </c>
    </row>
    <row r="43" spans="1:1">
      <c r="A43" s="9" t="s">
        <v>31</v>
      </c>
    </row>
    <row r="44" spans="1:1">
      <c r="A44" s="9" t="s">
        <v>32</v>
      </c>
    </row>
    <row r="45" spans="1:1">
      <c r="A45" s="9" t="s">
        <v>33</v>
      </c>
    </row>
    <row r="46" spans="1:1">
      <c r="A46" s="9" t="s">
        <v>34</v>
      </c>
    </row>
    <row r="47" spans="1:1">
      <c r="A47" s="9" t="s">
        <v>35</v>
      </c>
    </row>
    <row r="48" spans="1:1">
      <c r="A48" s="9"/>
    </row>
    <row r="49" spans="1:1">
      <c r="A49" s="10" t="s">
        <v>36</v>
      </c>
    </row>
    <row r="50" spans="1:1">
      <c r="A50" s="10" t="s">
        <v>37</v>
      </c>
    </row>
    <row r="51" spans="1:1">
      <c r="A51" s="9" t="s">
        <v>38</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workbookViewId="0">
      <selection sqref="A1:F1"/>
    </sheetView>
  </sheetViews>
  <sheetFormatPr baseColWidth="10" defaultColWidth="8.7265625" defaultRowHeight="14.5"/>
  <cols>
    <col min="1" max="1" width="35" customWidth="1"/>
    <col min="2" max="2" width="40" customWidth="1"/>
    <col min="3" max="3" width="20" customWidth="1"/>
    <col min="4" max="4" width="15" customWidth="1"/>
  </cols>
  <sheetData>
    <row r="1" spans="1:6" ht="23">
      <c r="A1" s="93" t="s">
        <v>39</v>
      </c>
      <c r="B1" s="90"/>
      <c r="C1" s="90"/>
      <c r="D1" s="90"/>
      <c r="E1" s="90"/>
      <c r="F1" s="90"/>
    </row>
    <row r="2" spans="1:6">
      <c r="A2" s="1" t="s">
        <v>40</v>
      </c>
    </row>
    <row r="4" spans="1:6">
      <c r="A4" s="91" t="s">
        <v>41</v>
      </c>
      <c r="B4" s="90"/>
    </row>
    <row r="5" spans="1:6">
      <c r="A5" s="2" t="s">
        <v>42</v>
      </c>
      <c r="B5" s="3">
        <f>COUNTA('App-Ideen Liste'!A:A)-1</f>
        <v>47</v>
      </c>
    </row>
    <row r="6" spans="1:6">
      <c r="A6" s="2" t="s">
        <v>43</v>
      </c>
      <c r="B6" s="3">
        <f>COUNTIF('App-Ideen Liste'!Q:Q,"Sehr Hoch")</f>
        <v>2</v>
      </c>
    </row>
    <row r="7" spans="1:6">
      <c r="A7" s="2" t="s">
        <v>44</v>
      </c>
      <c r="B7" s="3">
        <f>COUNTIF('App-Ideen Liste'!V:V,"In Entwicklung")</f>
        <v>0</v>
      </c>
    </row>
    <row r="8" spans="1:6">
      <c r="A8" s="2" t="s">
        <v>45</v>
      </c>
      <c r="B8" s="3">
        <f>COUNTA('Trendanalyse TOP 50'!A:A)-1</f>
        <v>50</v>
      </c>
    </row>
    <row r="9" spans="1:6">
      <c r="A9" s="2" t="s">
        <v>46</v>
      </c>
      <c r="B9" s="3">
        <f>COUNTIF('Trendanalyse TOP 50'!F:F,"&gt;=3")</f>
        <v>50</v>
      </c>
    </row>
    <row r="10" spans="1:6">
      <c r="A10" s="2" t="s">
        <v>47</v>
      </c>
      <c r="B10" s="3">
        <f>AVERAGE('Trendanalyse TOP 50'!P:P)</f>
        <v>24</v>
      </c>
    </row>
    <row r="12" spans="1:6">
      <c r="A12" s="92" t="s">
        <v>48</v>
      </c>
      <c r="B12" s="90"/>
      <c r="C12" s="90"/>
      <c r="D12" s="90"/>
    </row>
    <row r="13" spans="1:6">
      <c r="A13" s="15" t="s">
        <v>49</v>
      </c>
      <c r="B13" s="15" t="s">
        <v>50</v>
      </c>
      <c r="C13" s="15" t="s">
        <v>51</v>
      </c>
      <c r="D13" s="15" t="s">
        <v>52</v>
      </c>
    </row>
    <row r="14" spans="1:6">
      <c r="A14" t="s">
        <v>53</v>
      </c>
      <c r="B14" t="s">
        <v>54</v>
      </c>
    </row>
    <row r="19" spans="1:4">
      <c r="A19" s="4" t="s">
        <v>55</v>
      </c>
    </row>
    <row r="21" spans="1:4">
      <c r="A21" s="94" t="s">
        <v>56</v>
      </c>
      <c r="B21" s="90"/>
      <c r="C21" s="90"/>
      <c r="D21" s="90"/>
    </row>
    <row r="22" spans="1:4">
      <c r="A22" s="5" t="s">
        <v>57</v>
      </c>
    </row>
    <row r="23" spans="1:4">
      <c r="A23" s="5" t="s">
        <v>58</v>
      </c>
    </row>
    <row r="24" spans="1:4">
      <c r="A24" s="5" t="s">
        <v>59</v>
      </c>
    </row>
    <row r="25" spans="1:4">
      <c r="A25" s="5" t="s">
        <v>60</v>
      </c>
    </row>
    <row r="26" spans="1:4">
      <c r="A26" s="5" t="s">
        <v>61</v>
      </c>
    </row>
    <row r="27" spans="1:4">
      <c r="A27" s="5" t="s">
        <v>35</v>
      </c>
    </row>
  </sheetData>
  <mergeCells count="4">
    <mergeCell ref="A4:B4"/>
    <mergeCell ref="A12:D12"/>
    <mergeCell ref="A1:F1"/>
    <mergeCell ref="A21:D2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
  <sheetViews>
    <sheetView workbookViewId="0"/>
  </sheetViews>
  <sheetFormatPr baseColWidth="10" defaultColWidth="8.7265625" defaultRowHeight="14.5"/>
  <sheetData>
    <row r="1" spans="1:3">
      <c r="A1" s="10" t="s">
        <v>62</v>
      </c>
      <c r="B1" s="10" t="s">
        <v>63</v>
      </c>
      <c r="C1" s="10" t="s">
        <v>64</v>
      </c>
    </row>
    <row r="2" spans="1:3">
      <c r="A2" t="s">
        <v>65</v>
      </c>
      <c r="B2" t="s">
        <v>66</v>
      </c>
      <c r="C2">
        <v>4</v>
      </c>
    </row>
    <row r="3" spans="1:3">
      <c r="A3" t="s">
        <v>67</v>
      </c>
      <c r="B3" t="s">
        <v>68</v>
      </c>
      <c r="C3">
        <v>3</v>
      </c>
    </row>
    <row r="4" spans="1:3">
      <c r="A4" t="s">
        <v>69</v>
      </c>
      <c r="B4" t="s">
        <v>70</v>
      </c>
      <c r="C4">
        <v>2</v>
      </c>
    </row>
    <row r="5" spans="1:3">
      <c r="A5" t="s">
        <v>71</v>
      </c>
      <c r="B5" t="s">
        <v>72</v>
      </c>
      <c r="C5">
        <v>1</v>
      </c>
    </row>
    <row r="6" spans="1:3">
      <c r="A6" t="s">
        <v>73</v>
      </c>
      <c r="B6" t="s">
        <v>74</v>
      </c>
    </row>
    <row r="7" spans="1:3">
      <c r="A7" t="s">
        <v>75</v>
      </c>
      <c r="B7" t="s">
        <v>76</v>
      </c>
    </row>
    <row r="8" spans="1:3">
      <c r="A8" t="s">
        <v>77</v>
      </c>
      <c r="B8" t="s">
        <v>78</v>
      </c>
    </row>
    <row r="9" spans="1:3">
      <c r="A9" t="s">
        <v>79</v>
      </c>
      <c r="B9" t="s">
        <v>80</v>
      </c>
    </row>
    <row r="10" spans="1:3">
      <c r="A10" t="s">
        <v>81</v>
      </c>
    </row>
    <row r="11" spans="1:3">
      <c r="A11" t="s">
        <v>82</v>
      </c>
    </row>
    <row r="12" spans="1:3">
      <c r="A12" t="s">
        <v>83</v>
      </c>
    </row>
    <row r="13" spans="1:3">
      <c r="A13" t="s">
        <v>84</v>
      </c>
    </row>
    <row r="14" spans="1:3">
      <c r="A14" t="s">
        <v>85</v>
      </c>
    </row>
    <row r="15" spans="1:3">
      <c r="A15" t="s">
        <v>86</v>
      </c>
    </row>
    <row r="16" spans="1:3">
      <c r="A16" t="s">
        <v>87</v>
      </c>
    </row>
    <row r="17" spans="1:1">
      <c r="A17" t="s">
        <v>88</v>
      </c>
    </row>
    <row r="18" spans="1:1">
      <c r="A18" t="s">
        <v>89</v>
      </c>
    </row>
    <row r="19" spans="1:1">
      <c r="A19" t="s">
        <v>90</v>
      </c>
    </row>
    <row r="20" spans="1:1">
      <c r="A20" t="s">
        <v>91</v>
      </c>
    </row>
    <row r="21" spans="1:1">
      <c r="A21" t="s">
        <v>92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48"/>
  <sheetViews>
    <sheetView topLeftCell="M1" zoomScale="70" zoomScaleNormal="70" workbookViewId="0">
      <pane ySplit="1" topLeftCell="A17" activePane="bottomLeft" state="frozen"/>
      <selection pane="bottomLeft" activeCell="Z36" sqref="Z36"/>
    </sheetView>
  </sheetViews>
  <sheetFormatPr baseColWidth="10" defaultColWidth="8.7265625" defaultRowHeight="14.5"/>
  <cols>
    <col min="1" max="1" width="12" customWidth="1"/>
    <col min="2" max="3" width="23" customWidth="1"/>
    <col min="4" max="4" width="19.453125" bestFit="1" customWidth="1"/>
    <col min="5" max="5" width="19.453125" customWidth="1"/>
    <col min="6" max="6" width="25" customWidth="1"/>
    <col min="7" max="8" width="40" customWidth="1"/>
    <col min="9" max="9" width="35" customWidth="1"/>
    <col min="10" max="10" width="25" customWidth="1"/>
    <col min="11" max="13" width="12" customWidth="1"/>
    <col min="14" max="14" width="15" customWidth="1"/>
    <col min="15" max="15" width="12" customWidth="1"/>
    <col min="16" max="16" width="12" style="13" customWidth="1"/>
    <col min="17" max="17" width="12" customWidth="1"/>
    <col min="18" max="19" width="15" customWidth="1"/>
    <col min="20" max="21" width="25" customWidth="1"/>
    <col min="22" max="22" width="20" customWidth="1"/>
    <col min="23" max="24" width="15" customWidth="1"/>
    <col min="25" max="25" width="12" customWidth="1"/>
    <col min="26" max="26" width="30" customWidth="1"/>
    <col min="27" max="27" width="32" customWidth="1"/>
  </cols>
  <sheetData>
    <row r="1" spans="1:27" ht="40" customHeight="1">
      <c r="A1" s="48" t="s">
        <v>93</v>
      </c>
      <c r="B1" s="6" t="s">
        <v>94</v>
      </c>
      <c r="C1" s="6" t="s">
        <v>51</v>
      </c>
      <c r="D1" s="6" t="s">
        <v>95</v>
      </c>
      <c r="E1" s="6" t="s">
        <v>96</v>
      </c>
      <c r="F1" s="6" t="s">
        <v>97</v>
      </c>
      <c r="G1" s="6" t="s">
        <v>98</v>
      </c>
      <c r="H1" s="6" t="s">
        <v>99</v>
      </c>
      <c r="I1" s="6" t="s">
        <v>100</v>
      </c>
      <c r="J1" s="6" t="s">
        <v>101</v>
      </c>
      <c r="K1" s="6" t="s">
        <v>102</v>
      </c>
      <c r="L1" s="6" t="s">
        <v>103</v>
      </c>
      <c r="M1" s="6" t="s">
        <v>104</v>
      </c>
      <c r="N1" s="6" t="s">
        <v>105</v>
      </c>
      <c r="O1" s="6" t="s">
        <v>106</v>
      </c>
      <c r="P1" s="11" t="s">
        <v>107</v>
      </c>
      <c r="Q1" s="6" t="s">
        <v>108</v>
      </c>
      <c r="R1" s="6" t="s">
        <v>109</v>
      </c>
      <c r="S1" s="6" t="s">
        <v>110</v>
      </c>
      <c r="T1" s="6" t="s">
        <v>111</v>
      </c>
      <c r="U1" s="6" t="s">
        <v>112</v>
      </c>
      <c r="V1" s="6" t="s">
        <v>113</v>
      </c>
      <c r="W1" s="6" t="s">
        <v>63</v>
      </c>
      <c r="X1" s="6" t="s">
        <v>114</v>
      </c>
      <c r="Y1" s="6" t="s">
        <v>115</v>
      </c>
      <c r="Z1" s="6" t="s">
        <v>116</v>
      </c>
      <c r="AA1" s="6" t="s">
        <v>117</v>
      </c>
    </row>
    <row r="2" spans="1:27" ht="37.5">
      <c r="A2" s="7" t="s">
        <v>118</v>
      </c>
      <c r="B2" s="7" t="s">
        <v>119</v>
      </c>
      <c r="C2" s="7" t="s">
        <v>67</v>
      </c>
      <c r="D2" s="28" t="s">
        <v>120</v>
      </c>
      <c r="E2" s="7">
        <v>3</v>
      </c>
      <c r="F2" s="7" t="s">
        <v>121</v>
      </c>
      <c r="G2" s="7" t="s">
        <v>122</v>
      </c>
      <c r="H2" s="7" t="s">
        <v>123</v>
      </c>
      <c r="I2" s="7" t="s">
        <v>124</v>
      </c>
      <c r="J2" s="7" t="s">
        <v>125</v>
      </c>
      <c r="K2" s="7">
        <v>8</v>
      </c>
      <c r="L2" s="7">
        <v>7</v>
      </c>
      <c r="M2" s="7">
        <v>8</v>
      </c>
      <c r="N2" s="7">
        <v>6</v>
      </c>
      <c r="O2" s="7">
        <f>AVERAGE(K2:N2)</f>
        <v>7.25</v>
      </c>
      <c r="P2" s="12">
        <f>(K2+L2+M2)*(10-N2)/30</f>
        <v>3.0666666666666669</v>
      </c>
      <c r="Q2" s="7" t="str">
        <f>IF(P2&gt;=7,"Sehr Hoch",IF(P2&gt;=5,"Hoch",IF(P2&gt;=3,"Mittel","Niedrig")))</f>
        <v>Mittel</v>
      </c>
      <c r="R2" s="7">
        <v>6</v>
      </c>
      <c r="S2" s="7" t="s">
        <v>126</v>
      </c>
      <c r="T2" s="7" t="s">
        <v>127</v>
      </c>
      <c r="U2" s="7" t="s">
        <v>128</v>
      </c>
      <c r="V2" s="7" t="s">
        <v>129</v>
      </c>
      <c r="W2" s="7" t="s">
        <v>72</v>
      </c>
      <c r="X2" s="7" t="s">
        <v>130</v>
      </c>
      <c r="Y2" s="7" t="s">
        <v>131</v>
      </c>
      <c r="Z2" s="7" t="s">
        <v>132</v>
      </c>
      <c r="AA2" s="7" t="s">
        <v>133</v>
      </c>
    </row>
    <row r="3" spans="1:27" ht="37.5">
      <c r="A3" s="7" t="s">
        <v>134</v>
      </c>
      <c r="B3" s="7" t="s">
        <v>135</v>
      </c>
      <c r="C3" s="7" t="s">
        <v>65</v>
      </c>
      <c r="D3" s="7"/>
      <c r="E3" s="7"/>
      <c r="F3" s="7" t="s">
        <v>136</v>
      </c>
      <c r="G3" s="7" t="s">
        <v>137</v>
      </c>
      <c r="H3" s="7" t="s">
        <v>138</v>
      </c>
      <c r="I3" s="7" t="s">
        <v>139</v>
      </c>
      <c r="J3" s="7" t="s">
        <v>140</v>
      </c>
      <c r="K3" s="7">
        <v>9</v>
      </c>
      <c r="L3" s="7">
        <v>9</v>
      </c>
      <c r="M3" s="7">
        <v>6</v>
      </c>
      <c r="N3" s="7">
        <v>7</v>
      </c>
      <c r="O3" s="7">
        <f>AVERAGE(K3:N3)</f>
        <v>7.75</v>
      </c>
      <c r="P3" s="12">
        <f>(K3+L3+M3)*(10-N3)/30</f>
        <v>2.4</v>
      </c>
      <c r="Q3" s="7" t="str">
        <f>IF(P3&gt;=7,"Sehr Hoch",IF(P3&gt;=5,"Hoch",IF(P3&gt;=3,"Mittel","Niedrig")))</f>
        <v>Niedrig</v>
      </c>
      <c r="R3" s="7">
        <v>1</v>
      </c>
      <c r="S3" s="7" t="s">
        <v>141</v>
      </c>
      <c r="T3" s="7" t="s">
        <v>142</v>
      </c>
      <c r="U3" s="7" t="s">
        <v>143</v>
      </c>
      <c r="V3" s="7" t="s">
        <v>144</v>
      </c>
      <c r="W3" s="7" t="s">
        <v>66</v>
      </c>
      <c r="X3" s="7" t="s">
        <v>145</v>
      </c>
      <c r="Y3" s="7" t="s">
        <v>131</v>
      </c>
      <c r="Z3" s="7" t="s">
        <v>146</v>
      </c>
      <c r="AA3" s="7" t="s">
        <v>147</v>
      </c>
    </row>
    <row r="4" spans="1:27" ht="37.5">
      <c r="A4" s="7" t="s">
        <v>148</v>
      </c>
      <c r="B4" s="7" t="s">
        <v>149</v>
      </c>
      <c r="C4" s="7" t="s">
        <v>69</v>
      </c>
      <c r="D4" s="7" t="s">
        <v>150</v>
      </c>
      <c r="E4" s="7">
        <v>5</v>
      </c>
      <c r="F4" s="7" t="s">
        <v>151</v>
      </c>
      <c r="G4" s="7" t="s">
        <v>152</v>
      </c>
      <c r="H4" s="7" t="s">
        <v>153</v>
      </c>
      <c r="I4" s="7" t="s">
        <v>154</v>
      </c>
      <c r="J4" s="7" t="s">
        <v>155</v>
      </c>
      <c r="K4" s="7">
        <v>8</v>
      </c>
      <c r="L4" s="7">
        <v>9</v>
      </c>
      <c r="M4" s="7">
        <v>7</v>
      </c>
      <c r="N4" s="7">
        <v>8</v>
      </c>
      <c r="O4" s="7">
        <f>AVERAGE(K4:N4)</f>
        <v>8</v>
      </c>
      <c r="P4" s="12">
        <f>(K4+L4+M4)*(10-N4)/30</f>
        <v>1.6</v>
      </c>
      <c r="Q4" s="7" t="str">
        <f>IF(P4&gt;=7,"Sehr Hoch",IF(P4&gt;=5,"Hoch",IF(P4&gt;=3,"Mittel","Niedrig")))</f>
        <v>Niedrig</v>
      </c>
      <c r="R4" s="7">
        <v>9</v>
      </c>
      <c r="S4" s="7" t="s">
        <v>156</v>
      </c>
      <c r="T4" s="7" t="s">
        <v>157</v>
      </c>
      <c r="U4" s="7" t="s">
        <v>158</v>
      </c>
      <c r="V4" s="7" t="s">
        <v>159</v>
      </c>
      <c r="W4" s="7" t="s">
        <v>68</v>
      </c>
      <c r="X4" s="7" t="s">
        <v>145</v>
      </c>
      <c r="Y4" s="7" t="s">
        <v>131</v>
      </c>
      <c r="Z4" s="7" t="s">
        <v>160</v>
      </c>
      <c r="AA4" s="7" t="s">
        <v>161</v>
      </c>
    </row>
    <row r="5" spans="1:27" s="17" customFormat="1" ht="145">
      <c r="A5" s="7" t="s">
        <v>162</v>
      </c>
      <c r="B5" s="23" t="s">
        <v>163</v>
      </c>
      <c r="C5" s="23" t="s">
        <v>164</v>
      </c>
      <c r="D5" s="36" t="s">
        <v>165</v>
      </c>
      <c r="E5" s="23">
        <v>3</v>
      </c>
      <c r="F5" s="23" t="s">
        <v>166</v>
      </c>
      <c r="G5" s="23" t="s">
        <v>167</v>
      </c>
      <c r="H5" s="23" t="s">
        <v>168</v>
      </c>
      <c r="I5" s="23" t="s">
        <v>169</v>
      </c>
      <c r="J5" s="23" t="s">
        <v>170</v>
      </c>
      <c r="K5" s="23">
        <v>8</v>
      </c>
      <c r="L5" s="23">
        <v>8</v>
      </c>
      <c r="M5" s="23">
        <v>7</v>
      </c>
      <c r="N5" s="23">
        <v>7</v>
      </c>
      <c r="O5" s="23">
        <v>7.5</v>
      </c>
      <c r="P5" s="37">
        <v>3</v>
      </c>
      <c r="Q5" s="23" t="s">
        <v>171</v>
      </c>
      <c r="R5" s="23">
        <v>12</v>
      </c>
      <c r="S5" s="23" t="s">
        <v>126</v>
      </c>
      <c r="T5" s="23" t="s">
        <v>172</v>
      </c>
      <c r="U5" s="23" t="s">
        <v>173</v>
      </c>
      <c r="V5" s="23" t="s">
        <v>174</v>
      </c>
      <c r="W5" s="7" t="s">
        <v>66</v>
      </c>
      <c r="X5" s="23" t="s">
        <v>175</v>
      </c>
      <c r="Y5" s="24">
        <v>46075</v>
      </c>
      <c r="Z5" s="23" t="s">
        <v>176</v>
      </c>
      <c r="AA5" s="60" t="s">
        <v>177</v>
      </c>
    </row>
    <row r="6" spans="1:27" ht="100">
      <c r="A6" s="7" t="s">
        <v>178</v>
      </c>
      <c r="B6" s="7" t="s">
        <v>179</v>
      </c>
      <c r="C6" s="7" t="s">
        <v>180</v>
      </c>
      <c r="D6" s="28" t="s">
        <v>181</v>
      </c>
      <c r="E6" s="28">
        <v>3</v>
      </c>
      <c r="F6" s="7" t="s">
        <v>182</v>
      </c>
      <c r="G6" s="7" t="s">
        <v>183</v>
      </c>
      <c r="H6" s="7" t="s">
        <v>184</v>
      </c>
      <c r="I6" s="7" t="s">
        <v>185</v>
      </c>
      <c r="J6" s="7" t="s">
        <v>186</v>
      </c>
      <c r="K6" s="7">
        <v>9</v>
      </c>
      <c r="L6" s="7">
        <v>9</v>
      </c>
      <c r="M6" s="7">
        <v>7</v>
      </c>
      <c r="N6" s="7">
        <v>6</v>
      </c>
      <c r="O6" s="7">
        <v>7.75</v>
      </c>
      <c r="P6" s="22">
        <v>2.5</v>
      </c>
      <c r="Q6" s="20" t="s">
        <v>187</v>
      </c>
      <c r="R6" s="7">
        <v>5</v>
      </c>
      <c r="S6" s="7" t="s">
        <v>126</v>
      </c>
      <c r="T6" s="7" t="s">
        <v>188</v>
      </c>
      <c r="U6" s="7" t="s">
        <v>189</v>
      </c>
      <c r="V6" s="7" t="s">
        <v>190</v>
      </c>
      <c r="W6" s="20" t="s">
        <v>68</v>
      </c>
      <c r="X6" s="7" t="s">
        <v>145</v>
      </c>
      <c r="Y6" s="24">
        <v>46075</v>
      </c>
      <c r="Z6" s="7" t="s">
        <v>191</v>
      </c>
      <c r="AA6" s="7" t="s">
        <v>192</v>
      </c>
    </row>
    <row r="7" spans="1:27" ht="72.5">
      <c r="A7" s="7" t="s">
        <v>193</v>
      </c>
      <c r="B7" s="29" t="s">
        <v>194</v>
      </c>
      <c r="C7" s="29" t="s">
        <v>82</v>
      </c>
      <c r="D7" s="29"/>
      <c r="E7" s="29"/>
      <c r="F7" s="30" t="s">
        <v>195</v>
      </c>
      <c r="G7" s="30" t="s">
        <v>196</v>
      </c>
      <c r="H7" s="30" t="s">
        <v>197</v>
      </c>
      <c r="I7" s="29"/>
      <c r="J7" s="30" t="s">
        <v>198</v>
      </c>
      <c r="K7" s="29">
        <v>6</v>
      </c>
      <c r="L7" s="29">
        <v>6</v>
      </c>
      <c r="M7" s="29">
        <v>8</v>
      </c>
      <c r="N7" s="29">
        <v>7</v>
      </c>
      <c r="O7" s="29">
        <f>AVERAGE(K7:N7)</f>
        <v>6.75</v>
      </c>
      <c r="P7" s="31"/>
      <c r="Q7" s="29" t="s">
        <v>199</v>
      </c>
      <c r="R7" s="29"/>
      <c r="S7" s="7" t="s">
        <v>200</v>
      </c>
      <c r="T7" s="29"/>
      <c r="U7" s="29"/>
      <c r="V7" s="29"/>
      <c r="W7" s="29" t="s">
        <v>66</v>
      </c>
      <c r="X7" s="29"/>
      <c r="Y7" s="32">
        <v>46077</v>
      </c>
      <c r="Z7" s="29"/>
      <c r="AA7" s="30" t="s">
        <v>201</v>
      </c>
    </row>
    <row r="8" spans="1:27" ht="70">
      <c r="A8" s="7" t="s">
        <v>202</v>
      </c>
      <c r="B8" s="19" t="s">
        <v>203</v>
      </c>
      <c r="C8" s="19" t="s">
        <v>204</v>
      </c>
      <c r="D8" s="19"/>
      <c r="E8" s="19"/>
      <c r="F8" s="19" t="s">
        <v>205</v>
      </c>
      <c r="G8" s="19" t="s">
        <v>206</v>
      </c>
      <c r="H8" s="19" t="s">
        <v>207</v>
      </c>
      <c r="I8" s="19" t="s">
        <v>208</v>
      </c>
      <c r="J8" s="19" t="s">
        <v>209</v>
      </c>
      <c r="K8" s="19">
        <v>9</v>
      </c>
      <c r="L8" s="19">
        <v>8</v>
      </c>
      <c r="M8" s="19">
        <v>4</v>
      </c>
      <c r="N8" s="19">
        <v>2</v>
      </c>
      <c r="O8" s="19">
        <v>5.75</v>
      </c>
      <c r="P8" s="19">
        <v>4.2</v>
      </c>
      <c r="Q8" s="19" t="s">
        <v>187</v>
      </c>
      <c r="R8" s="19">
        <v>45</v>
      </c>
      <c r="S8" s="19" t="s">
        <v>210</v>
      </c>
      <c r="T8" s="19" t="s">
        <v>211</v>
      </c>
      <c r="U8" s="19" t="s">
        <v>212</v>
      </c>
      <c r="V8" s="19" t="s">
        <v>213</v>
      </c>
      <c r="W8" s="19" t="s">
        <v>66</v>
      </c>
      <c r="X8" s="19" t="s">
        <v>214</v>
      </c>
      <c r="Y8" s="25">
        <v>46083</v>
      </c>
      <c r="Z8" s="19" t="s">
        <v>215</v>
      </c>
      <c r="AA8" s="19" t="s">
        <v>216</v>
      </c>
    </row>
    <row r="9" spans="1:27" ht="70">
      <c r="A9" s="7" t="s">
        <v>217</v>
      </c>
      <c r="B9" s="19" t="s">
        <v>218</v>
      </c>
      <c r="C9" s="19" t="s">
        <v>219</v>
      </c>
      <c r="D9" s="19"/>
      <c r="E9" s="19"/>
      <c r="F9" s="19" t="s">
        <v>220</v>
      </c>
      <c r="G9" s="19" t="s">
        <v>221</v>
      </c>
      <c r="H9" s="19" t="s">
        <v>222</v>
      </c>
      <c r="I9" s="19" t="s">
        <v>223</v>
      </c>
      <c r="J9" s="19" t="s">
        <v>224</v>
      </c>
      <c r="K9" s="19">
        <v>8</v>
      </c>
      <c r="L9" s="19">
        <v>7</v>
      </c>
      <c r="M9" s="19">
        <v>6</v>
      </c>
      <c r="N9" s="19">
        <v>3</v>
      </c>
      <c r="O9" s="19">
        <v>6</v>
      </c>
      <c r="P9" s="19">
        <v>3.1</v>
      </c>
      <c r="Q9" s="19" t="s">
        <v>225</v>
      </c>
      <c r="R9" s="19">
        <v>52</v>
      </c>
      <c r="S9" s="19" t="s">
        <v>141</v>
      </c>
      <c r="T9" s="19" t="s">
        <v>226</v>
      </c>
      <c r="U9" s="19" t="s">
        <v>227</v>
      </c>
      <c r="V9" s="19" t="s">
        <v>228</v>
      </c>
      <c r="W9" s="19" t="s">
        <v>66</v>
      </c>
      <c r="X9" s="19" t="s">
        <v>130</v>
      </c>
      <c r="Y9" s="25">
        <v>46083</v>
      </c>
      <c r="Z9" s="19" t="s">
        <v>229</v>
      </c>
      <c r="AA9" s="19" t="s">
        <v>230</v>
      </c>
    </row>
    <row r="10" spans="1:27" ht="70">
      <c r="A10" s="7" t="s">
        <v>231</v>
      </c>
      <c r="B10" s="19" t="s">
        <v>232</v>
      </c>
      <c r="C10" s="19" t="s">
        <v>233</v>
      </c>
      <c r="D10" s="19"/>
      <c r="E10" s="19"/>
      <c r="F10" s="19" t="s">
        <v>234</v>
      </c>
      <c r="G10" s="19" t="s">
        <v>235</v>
      </c>
      <c r="H10" s="19" t="s">
        <v>236</v>
      </c>
      <c r="I10" s="19" t="s">
        <v>237</v>
      </c>
      <c r="J10" s="19" t="s">
        <v>238</v>
      </c>
      <c r="K10" s="19">
        <v>10</v>
      </c>
      <c r="L10" s="19">
        <v>9</v>
      </c>
      <c r="M10" s="19">
        <v>5</v>
      </c>
      <c r="N10" s="19">
        <v>5</v>
      </c>
      <c r="O10" s="19">
        <v>7.25</v>
      </c>
      <c r="P10" s="19">
        <v>3.8</v>
      </c>
      <c r="Q10" s="19" t="s">
        <v>187</v>
      </c>
      <c r="R10" s="19">
        <v>18</v>
      </c>
      <c r="S10" s="19" t="s">
        <v>141</v>
      </c>
      <c r="T10" s="19" t="s">
        <v>239</v>
      </c>
      <c r="U10" s="19" t="s">
        <v>240</v>
      </c>
      <c r="V10" s="19" t="s">
        <v>241</v>
      </c>
      <c r="W10" s="19" t="s">
        <v>66</v>
      </c>
      <c r="X10" s="19" t="s">
        <v>242</v>
      </c>
      <c r="Y10" s="25">
        <v>46083</v>
      </c>
      <c r="Z10" s="19" t="s">
        <v>243</v>
      </c>
      <c r="AA10" s="19" t="s">
        <v>244</v>
      </c>
    </row>
    <row r="11" spans="1:27" ht="70">
      <c r="A11" s="7" t="s">
        <v>245</v>
      </c>
      <c r="B11" s="19" t="s">
        <v>246</v>
      </c>
      <c r="C11" s="19" t="s">
        <v>247</v>
      </c>
      <c r="D11" s="19"/>
      <c r="E11" s="19"/>
      <c r="F11" s="19" t="s">
        <v>248</v>
      </c>
      <c r="G11" s="19" t="s">
        <v>249</v>
      </c>
      <c r="H11" s="19" t="s">
        <v>250</v>
      </c>
      <c r="I11" s="19" t="s">
        <v>251</v>
      </c>
      <c r="J11" s="19" t="s">
        <v>252</v>
      </c>
      <c r="K11" s="19">
        <v>9</v>
      </c>
      <c r="L11" s="19">
        <v>8</v>
      </c>
      <c r="M11" s="19">
        <v>6</v>
      </c>
      <c r="N11" s="19">
        <v>4</v>
      </c>
      <c r="O11" s="19">
        <v>6.75</v>
      </c>
      <c r="P11" s="19">
        <v>3.4</v>
      </c>
      <c r="Q11" s="19" t="s">
        <v>171</v>
      </c>
      <c r="R11" s="19">
        <v>33</v>
      </c>
      <c r="S11" s="19" t="s">
        <v>253</v>
      </c>
      <c r="T11" s="19" t="s">
        <v>254</v>
      </c>
      <c r="U11" s="19" t="s">
        <v>255</v>
      </c>
      <c r="V11" s="19" t="s">
        <v>256</v>
      </c>
      <c r="W11" s="19" t="s">
        <v>66</v>
      </c>
      <c r="X11" s="19" t="s">
        <v>145</v>
      </c>
      <c r="Y11" s="25">
        <v>46083</v>
      </c>
      <c r="Z11" s="19" t="s">
        <v>257</v>
      </c>
      <c r="AA11" s="19" t="s">
        <v>258</v>
      </c>
    </row>
    <row r="12" spans="1:27" ht="70">
      <c r="A12" s="7" t="s">
        <v>259</v>
      </c>
      <c r="B12" s="19" t="s">
        <v>260</v>
      </c>
      <c r="C12" s="19" t="s">
        <v>261</v>
      </c>
      <c r="D12" s="19"/>
      <c r="E12" s="19"/>
      <c r="F12" s="19" t="s">
        <v>262</v>
      </c>
      <c r="G12" s="19" t="s">
        <v>263</v>
      </c>
      <c r="H12" s="19" t="s">
        <v>264</v>
      </c>
      <c r="I12" s="19" t="s">
        <v>265</v>
      </c>
      <c r="J12" s="19" t="s">
        <v>266</v>
      </c>
      <c r="K12" s="19">
        <v>8</v>
      </c>
      <c r="L12" s="19">
        <v>9</v>
      </c>
      <c r="M12" s="19">
        <v>7</v>
      </c>
      <c r="N12" s="19">
        <v>4</v>
      </c>
      <c r="O12" s="19">
        <v>7</v>
      </c>
      <c r="P12" s="19">
        <v>3.5</v>
      </c>
      <c r="Q12" s="19" t="s">
        <v>187</v>
      </c>
      <c r="R12" s="19">
        <v>61</v>
      </c>
      <c r="S12" s="19" t="s">
        <v>156</v>
      </c>
      <c r="T12" s="19" t="s">
        <v>267</v>
      </c>
      <c r="U12" s="19" t="s">
        <v>268</v>
      </c>
      <c r="V12" s="19" t="s">
        <v>269</v>
      </c>
      <c r="W12" s="19" t="s">
        <v>66</v>
      </c>
      <c r="X12" s="19" t="s">
        <v>270</v>
      </c>
      <c r="Y12" s="25">
        <v>46083</v>
      </c>
      <c r="Z12" s="19" t="s">
        <v>271</v>
      </c>
      <c r="AA12" s="19" t="s">
        <v>272</v>
      </c>
    </row>
    <row r="13" spans="1:27" ht="84">
      <c r="A13" s="7" t="s">
        <v>273</v>
      </c>
      <c r="B13" s="33" t="s">
        <v>274</v>
      </c>
      <c r="C13" s="33" t="s">
        <v>275</v>
      </c>
      <c r="D13" s="34" t="s">
        <v>276</v>
      </c>
      <c r="E13" s="33">
        <v>3</v>
      </c>
      <c r="F13" s="33" t="s">
        <v>277</v>
      </c>
      <c r="G13" s="33" t="s">
        <v>278</v>
      </c>
      <c r="H13" s="33" t="s">
        <v>279</v>
      </c>
      <c r="I13" s="33" t="s">
        <v>280</v>
      </c>
      <c r="J13" s="33" t="s">
        <v>281</v>
      </c>
      <c r="K13" s="33">
        <v>9</v>
      </c>
      <c r="L13" s="33">
        <v>7</v>
      </c>
      <c r="M13" s="33">
        <v>8</v>
      </c>
      <c r="N13" s="33">
        <v>8</v>
      </c>
      <c r="O13" s="33">
        <v>8</v>
      </c>
      <c r="P13" s="33">
        <v>2.8</v>
      </c>
      <c r="Q13" s="33" t="s">
        <v>171</v>
      </c>
      <c r="R13" s="33">
        <v>74</v>
      </c>
      <c r="S13" s="33" t="s">
        <v>282</v>
      </c>
      <c r="T13" s="33" t="s">
        <v>283</v>
      </c>
      <c r="U13" s="33" t="s">
        <v>284</v>
      </c>
      <c r="V13" s="33" t="s">
        <v>285</v>
      </c>
      <c r="W13" s="33" t="s">
        <v>66</v>
      </c>
      <c r="X13" s="33" t="s">
        <v>130</v>
      </c>
      <c r="Y13" s="35">
        <v>46083</v>
      </c>
      <c r="Z13" s="33" t="s">
        <v>286</v>
      </c>
      <c r="AA13" s="33" t="s">
        <v>287</v>
      </c>
    </row>
    <row r="14" spans="1:27" ht="159.5">
      <c r="A14" s="7" t="s">
        <v>288</v>
      </c>
      <c r="B14" s="19" t="s">
        <v>289</v>
      </c>
      <c r="C14" s="20" t="s">
        <v>92</v>
      </c>
      <c r="D14" s="26" t="s">
        <v>290</v>
      </c>
      <c r="E14" s="27">
        <v>4</v>
      </c>
      <c r="F14" s="19" t="s">
        <v>291</v>
      </c>
      <c r="G14" s="19" t="s">
        <v>292</v>
      </c>
      <c r="H14" s="19" t="s">
        <v>293</v>
      </c>
      <c r="I14" s="19" t="s">
        <v>294</v>
      </c>
      <c r="J14" s="21" t="s">
        <v>295</v>
      </c>
      <c r="K14" s="19">
        <v>8</v>
      </c>
      <c r="L14" s="19">
        <v>6</v>
      </c>
      <c r="M14" s="19">
        <v>9</v>
      </c>
      <c r="N14" s="19">
        <v>7</v>
      </c>
      <c r="O14" s="19">
        <v>30</v>
      </c>
      <c r="P14" s="22" t="s">
        <v>187</v>
      </c>
      <c r="Q14" s="19" t="s">
        <v>187</v>
      </c>
      <c r="R14" s="20"/>
      <c r="S14" s="19" t="s">
        <v>296</v>
      </c>
      <c r="T14" s="23" t="s">
        <v>297</v>
      </c>
      <c r="U14" s="19" t="s">
        <v>298</v>
      </c>
      <c r="V14" s="19" t="s">
        <v>299</v>
      </c>
      <c r="W14" s="19" t="s">
        <v>300</v>
      </c>
      <c r="X14" s="19" t="s">
        <v>145</v>
      </c>
      <c r="Y14" s="24">
        <v>46087</v>
      </c>
      <c r="Z14" s="19" t="s">
        <v>301</v>
      </c>
      <c r="AA14" s="61" t="s">
        <v>302</v>
      </c>
    </row>
    <row r="15" spans="1:27" ht="72.5">
      <c r="A15" s="7" t="s">
        <v>303</v>
      </c>
      <c r="B15" s="23" t="s">
        <v>304</v>
      </c>
      <c r="C15" s="23" t="s">
        <v>92</v>
      </c>
      <c r="D15" s="23"/>
      <c r="E15" s="23"/>
      <c r="F15" s="23" t="s">
        <v>305</v>
      </c>
      <c r="G15" s="38" t="s">
        <v>306</v>
      </c>
      <c r="H15" s="38" t="s">
        <v>307</v>
      </c>
      <c r="I15" s="23"/>
      <c r="J15" s="23" t="s">
        <v>308</v>
      </c>
      <c r="K15" s="23"/>
      <c r="L15" s="23"/>
      <c r="M15" s="23"/>
      <c r="N15" s="23"/>
      <c r="O15" s="23"/>
      <c r="P15" s="37"/>
      <c r="Q15" s="23"/>
      <c r="R15" s="23"/>
      <c r="S15" s="23"/>
      <c r="T15" s="23"/>
      <c r="U15" s="23"/>
      <c r="V15" s="23"/>
      <c r="W15" s="23"/>
      <c r="X15" s="23"/>
      <c r="Y15" s="39">
        <v>46087</v>
      </c>
      <c r="Z15" s="23"/>
      <c r="AA15" s="19"/>
    </row>
    <row r="16" spans="1:27">
      <c r="A16" s="7" t="s">
        <v>309</v>
      </c>
      <c r="B16" s="20" t="s">
        <v>310</v>
      </c>
      <c r="C16" s="20"/>
      <c r="D16" s="20" t="s">
        <v>311</v>
      </c>
      <c r="E16" s="20" t="s">
        <v>312</v>
      </c>
      <c r="F16" s="20"/>
      <c r="G16" s="20"/>
      <c r="H16" s="20"/>
      <c r="I16" s="20"/>
      <c r="J16" s="20"/>
      <c r="K16" s="20"/>
      <c r="L16" s="20"/>
      <c r="M16" s="20"/>
      <c r="N16" s="20"/>
      <c r="O16" s="20"/>
      <c r="P16" s="22"/>
      <c r="Q16" s="20"/>
      <c r="R16" s="20"/>
      <c r="S16" s="20"/>
      <c r="T16" s="20"/>
      <c r="U16" s="20"/>
      <c r="V16" s="20"/>
      <c r="W16" s="20"/>
      <c r="X16" s="20"/>
      <c r="Y16" s="20"/>
      <c r="Z16" s="20"/>
      <c r="AA16" s="20"/>
    </row>
    <row r="17" spans="1:27" ht="43.5">
      <c r="A17" s="7" t="s">
        <v>313</v>
      </c>
      <c r="B17" s="20" t="s">
        <v>314</v>
      </c>
      <c r="C17" s="20" t="s">
        <v>90</v>
      </c>
      <c r="D17" s="20" t="s">
        <v>290</v>
      </c>
      <c r="E17" s="20"/>
      <c r="F17" s="23" t="s">
        <v>315</v>
      </c>
      <c r="G17" s="23" t="s">
        <v>316</v>
      </c>
      <c r="H17" s="23" t="s">
        <v>317</v>
      </c>
      <c r="I17" s="23" t="s">
        <v>318</v>
      </c>
      <c r="J17" s="23" t="s">
        <v>319</v>
      </c>
      <c r="K17" s="23">
        <v>10</v>
      </c>
      <c r="L17" s="23">
        <v>10</v>
      </c>
      <c r="M17" s="23">
        <v>8</v>
      </c>
      <c r="N17" s="23">
        <v>9</v>
      </c>
      <c r="O17" s="23">
        <f>AVERAGE(K17:N17)</f>
        <v>9.25</v>
      </c>
      <c r="P17" s="23"/>
      <c r="Q17" s="23" t="s">
        <v>320</v>
      </c>
      <c r="R17" s="23"/>
      <c r="S17" s="23"/>
      <c r="T17" s="23" t="s">
        <v>321</v>
      </c>
      <c r="U17" s="23" t="s">
        <v>322</v>
      </c>
      <c r="V17" s="23" t="s">
        <v>323</v>
      </c>
      <c r="W17" s="23" t="s">
        <v>324</v>
      </c>
      <c r="X17" s="23" t="s">
        <v>325</v>
      </c>
      <c r="Y17" s="39">
        <v>46101</v>
      </c>
      <c r="Z17" s="23" t="s">
        <v>326</v>
      </c>
      <c r="AA17" s="60" t="s">
        <v>327</v>
      </c>
    </row>
    <row r="18" spans="1:27">
      <c r="A18" s="7" t="s">
        <v>328</v>
      </c>
      <c r="B18" s="20" t="s">
        <v>329</v>
      </c>
      <c r="C18" s="20"/>
      <c r="D18" s="20" t="s">
        <v>330</v>
      </c>
      <c r="E18" s="20">
        <v>1</v>
      </c>
      <c r="F18" s="20"/>
      <c r="G18" s="20"/>
      <c r="H18" s="20"/>
      <c r="I18" s="20"/>
      <c r="J18" s="20"/>
      <c r="K18" s="20"/>
      <c r="L18" s="20"/>
      <c r="M18" s="20"/>
      <c r="N18" s="20"/>
      <c r="O18" s="23"/>
      <c r="P18" s="22"/>
      <c r="Q18" s="20"/>
      <c r="R18" s="20"/>
      <c r="S18" s="20"/>
      <c r="T18" s="20"/>
      <c r="U18" s="20"/>
      <c r="V18" s="20"/>
      <c r="W18" s="20"/>
      <c r="X18" s="20"/>
      <c r="Y18" s="20"/>
      <c r="Z18" s="20"/>
      <c r="AA18" s="20"/>
    </row>
    <row r="19" spans="1:27">
      <c r="A19" s="7" t="s">
        <v>336</v>
      </c>
      <c r="B19" s="20" t="s">
        <v>337</v>
      </c>
      <c r="C19" s="20"/>
      <c r="D19" s="20" t="s">
        <v>338</v>
      </c>
      <c r="E19" s="20">
        <v>2</v>
      </c>
      <c r="F19" s="20"/>
      <c r="G19" s="20"/>
      <c r="H19" s="20"/>
      <c r="I19" s="20"/>
      <c r="J19" s="20"/>
      <c r="K19" s="20"/>
      <c r="L19" s="20"/>
      <c r="M19" s="20"/>
      <c r="N19" s="20"/>
      <c r="O19" s="23"/>
      <c r="P19" s="22"/>
      <c r="Q19" s="20"/>
      <c r="R19" s="20"/>
      <c r="S19" s="20"/>
      <c r="T19" s="20"/>
      <c r="U19" s="20"/>
      <c r="V19" s="20"/>
      <c r="W19" s="20"/>
      <c r="X19" s="20"/>
      <c r="Y19" s="20"/>
      <c r="Z19" s="20"/>
      <c r="AA19" s="20"/>
    </row>
    <row r="20" spans="1:27">
      <c r="A20" s="7" t="s">
        <v>339</v>
      </c>
      <c r="B20" s="20" t="s">
        <v>340</v>
      </c>
      <c r="C20" s="20"/>
      <c r="D20" s="20" t="s">
        <v>330</v>
      </c>
      <c r="E20" s="20">
        <v>2</v>
      </c>
      <c r="F20" s="20"/>
      <c r="G20" s="20"/>
      <c r="H20" s="20"/>
      <c r="I20" s="20"/>
      <c r="J20" s="20"/>
      <c r="K20" s="20"/>
      <c r="L20" s="20"/>
      <c r="M20" s="20"/>
      <c r="N20" s="20"/>
      <c r="O20" s="23"/>
      <c r="P20" s="22"/>
      <c r="Q20" s="20"/>
      <c r="R20" s="20"/>
      <c r="S20" s="20"/>
      <c r="T20" s="20"/>
      <c r="U20" s="20"/>
      <c r="V20" s="20"/>
      <c r="W20" s="20"/>
      <c r="X20" s="20"/>
      <c r="Y20" s="20"/>
      <c r="Z20" s="20"/>
      <c r="AA20" s="20"/>
    </row>
    <row r="21" spans="1:27">
      <c r="A21" s="7" t="s">
        <v>341</v>
      </c>
      <c r="B21" s="23" t="s">
        <v>342</v>
      </c>
      <c r="C21" s="20" t="s">
        <v>343</v>
      </c>
      <c r="D21" s="26" t="s">
        <v>330</v>
      </c>
      <c r="E21" s="46" t="s">
        <v>344</v>
      </c>
      <c r="F21" s="20"/>
      <c r="G21" s="20"/>
      <c r="H21" s="20"/>
      <c r="I21" s="20"/>
      <c r="J21" s="20"/>
      <c r="K21" s="20"/>
      <c r="L21" s="20"/>
      <c r="M21" s="20"/>
      <c r="N21" s="20"/>
      <c r="O21" s="23"/>
      <c r="P21" s="22"/>
      <c r="Q21" s="20"/>
      <c r="R21" s="20"/>
      <c r="S21" s="20"/>
      <c r="T21" s="20"/>
      <c r="U21" s="20"/>
      <c r="V21" s="20"/>
      <c r="W21" s="20"/>
      <c r="X21" s="20"/>
      <c r="Y21" s="20"/>
      <c r="Z21" s="20"/>
      <c r="AA21" s="20"/>
    </row>
    <row r="22" spans="1:27">
      <c r="A22" s="7" t="s">
        <v>345</v>
      </c>
      <c r="B22" s="20" t="s">
        <v>346</v>
      </c>
      <c r="C22" s="20" t="s">
        <v>343</v>
      </c>
      <c r="D22" s="26" t="s">
        <v>330</v>
      </c>
      <c r="E22" s="46" t="s">
        <v>344</v>
      </c>
      <c r="F22" s="20"/>
      <c r="G22" s="20"/>
      <c r="H22" s="20"/>
      <c r="I22" s="20"/>
      <c r="J22" s="20"/>
      <c r="K22" s="20"/>
      <c r="L22" s="20"/>
      <c r="M22" s="20"/>
      <c r="N22" s="20"/>
      <c r="O22" s="23"/>
      <c r="P22" s="22"/>
      <c r="Q22" s="20"/>
      <c r="R22" s="20"/>
      <c r="S22" s="20"/>
      <c r="T22" s="20"/>
      <c r="U22" s="20"/>
      <c r="V22" s="20"/>
      <c r="W22" s="20"/>
      <c r="X22" s="20"/>
      <c r="Y22" s="20"/>
      <c r="Z22" s="20"/>
      <c r="AA22" s="20"/>
    </row>
    <row r="23" spans="1:27">
      <c r="A23" s="7" t="s">
        <v>347</v>
      </c>
      <c r="B23" s="20" t="s">
        <v>348</v>
      </c>
      <c r="C23" s="20"/>
      <c r="D23" s="26" t="s">
        <v>349</v>
      </c>
      <c r="E23" s="20">
        <v>3</v>
      </c>
      <c r="F23" s="20"/>
      <c r="G23" s="20"/>
      <c r="H23" s="20"/>
      <c r="I23" s="20"/>
      <c r="J23" s="20"/>
      <c r="K23" s="20"/>
      <c r="L23" s="20"/>
      <c r="M23" s="20"/>
      <c r="N23" s="20"/>
      <c r="O23" s="23"/>
      <c r="P23" s="22"/>
      <c r="Q23" s="20"/>
      <c r="R23" s="20"/>
      <c r="S23" s="20"/>
      <c r="T23" s="20"/>
      <c r="U23" s="20"/>
      <c r="V23" s="20"/>
      <c r="W23" s="20"/>
      <c r="X23" s="20"/>
      <c r="Y23" s="20"/>
      <c r="Z23" s="20"/>
      <c r="AA23" s="20"/>
    </row>
    <row r="24" spans="1:27">
      <c r="A24" s="7" t="s">
        <v>354</v>
      </c>
      <c r="B24" s="20" t="s">
        <v>355</v>
      </c>
      <c r="C24" s="20" t="s">
        <v>343</v>
      </c>
      <c r="D24" s="26" t="s">
        <v>181</v>
      </c>
      <c r="E24" s="46" t="s">
        <v>344</v>
      </c>
      <c r="F24" s="20"/>
      <c r="G24" s="20"/>
      <c r="H24" s="20"/>
      <c r="I24" s="20"/>
      <c r="J24" s="20"/>
      <c r="K24" s="20"/>
      <c r="L24" s="20"/>
      <c r="M24" s="20"/>
      <c r="N24" s="20"/>
      <c r="O24" s="23"/>
      <c r="P24" s="22"/>
      <c r="Q24" s="20"/>
      <c r="R24" s="20"/>
      <c r="S24" s="20"/>
      <c r="T24" s="20"/>
      <c r="U24" s="20"/>
      <c r="V24" s="20"/>
      <c r="W24" s="20"/>
      <c r="X24" s="20"/>
      <c r="Y24" s="20"/>
      <c r="Z24" s="20"/>
      <c r="AA24" s="20"/>
    </row>
    <row r="25" spans="1:27">
      <c r="A25" s="7" t="s">
        <v>357</v>
      </c>
      <c r="B25" s="20" t="str">
        <f>'Trendanalyse TOP 50'!D9</f>
        <v>Energiekosten KMU</v>
      </c>
      <c r="C25" s="20"/>
      <c r="D25" s="20" t="s">
        <v>311</v>
      </c>
      <c r="E25" s="20">
        <v>4</v>
      </c>
      <c r="F25" s="20"/>
      <c r="G25" s="20"/>
      <c r="H25" s="20"/>
      <c r="I25" s="20"/>
      <c r="J25" s="20"/>
      <c r="K25" s="20"/>
      <c r="L25" s="20"/>
      <c r="M25" s="20"/>
      <c r="N25" s="20"/>
      <c r="O25" s="23"/>
      <c r="P25" s="22"/>
      <c r="Q25" s="20"/>
      <c r="R25" s="20"/>
      <c r="S25" s="20"/>
      <c r="T25" s="20"/>
      <c r="U25" s="20"/>
      <c r="V25" s="20"/>
      <c r="W25" s="20"/>
      <c r="X25" s="20"/>
      <c r="Y25" s="20"/>
      <c r="Z25" s="20"/>
      <c r="AA25" s="20"/>
    </row>
    <row r="26" spans="1:27" ht="29">
      <c r="A26" s="7" t="s">
        <v>358</v>
      </c>
      <c r="B26" s="7" t="s">
        <v>359</v>
      </c>
      <c r="C26" s="7" t="s">
        <v>87</v>
      </c>
      <c r="D26" s="20" t="s">
        <v>360</v>
      </c>
      <c r="E26" s="20">
        <v>6</v>
      </c>
      <c r="F26" s="23" t="s">
        <v>361</v>
      </c>
      <c r="G26" s="23" t="s">
        <v>362</v>
      </c>
      <c r="H26" s="23" t="s">
        <v>93</v>
      </c>
      <c r="I26" s="23" t="s">
        <v>363</v>
      </c>
      <c r="J26" s="23" t="s">
        <v>364</v>
      </c>
      <c r="K26" s="7">
        <v>7</v>
      </c>
      <c r="L26" s="7">
        <v>8</v>
      </c>
      <c r="M26" s="7">
        <v>7</v>
      </c>
      <c r="N26" s="7">
        <v>7</v>
      </c>
      <c r="O26" s="23">
        <f t="shared" ref="O26" si="0">AVERAGE(K26:N26)</f>
        <v>7.25</v>
      </c>
      <c r="P26" s="12">
        <f>(K26+L26+M26)*(10-N26)/30</f>
        <v>2.2000000000000002</v>
      </c>
      <c r="Q26" s="23"/>
      <c r="R26" s="23"/>
      <c r="S26" s="23"/>
      <c r="T26" s="23"/>
      <c r="U26" s="23"/>
      <c r="V26" s="23"/>
      <c r="W26" s="23"/>
      <c r="X26" s="23"/>
      <c r="Y26" s="23"/>
      <c r="Z26" s="23"/>
      <c r="AA26" s="23"/>
    </row>
    <row r="27" spans="1:27" ht="87">
      <c r="A27" s="7" t="s">
        <v>365</v>
      </c>
      <c r="B27" s="20" t="s">
        <v>366</v>
      </c>
      <c r="C27" s="20" t="s">
        <v>79</v>
      </c>
      <c r="D27" s="20" t="s">
        <v>290</v>
      </c>
      <c r="E27" s="20">
        <v>5</v>
      </c>
      <c r="F27" s="23" t="s">
        <v>367</v>
      </c>
      <c r="G27" s="23" t="s">
        <v>368</v>
      </c>
      <c r="H27" s="23" t="s">
        <v>369</v>
      </c>
      <c r="I27" s="23" t="s">
        <v>370</v>
      </c>
      <c r="J27" s="23" t="s">
        <v>371</v>
      </c>
      <c r="K27" s="23">
        <v>9</v>
      </c>
      <c r="L27" s="23">
        <v>8</v>
      </c>
      <c r="M27" s="23">
        <v>8</v>
      </c>
      <c r="N27" s="23">
        <v>7</v>
      </c>
      <c r="O27" s="23" t="s">
        <v>372</v>
      </c>
      <c r="P27" s="37" t="s">
        <v>373</v>
      </c>
      <c r="Q27" s="23" t="s">
        <v>187</v>
      </c>
      <c r="R27" s="23" t="s">
        <v>374</v>
      </c>
      <c r="S27" s="23" t="s">
        <v>375</v>
      </c>
      <c r="T27" s="50" t="s">
        <v>376</v>
      </c>
      <c r="U27" s="23" t="s">
        <v>377</v>
      </c>
      <c r="V27" s="23" t="s">
        <v>378</v>
      </c>
      <c r="W27" s="23" t="s">
        <v>379</v>
      </c>
      <c r="X27" s="23" t="s">
        <v>380</v>
      </c>
      <c r="Y27" s="23" t="s">
        <v>381</v>
      </c>
      <c r="Z27" s="23" t="s">
        <v>382</v>
      </c>
      <c r="AA27" s="59"/>
    </row>
    <row r="28" spans="1:27" ht="87">
      <c r="A28" s="7" t="s">
        <v>383</v>
      </c>
      <c r="B28" s="20" t="s">
        <v>384</v>
      </c>
      <c r="C28" s="20" t="s">
        <v>79</v>
      </c>
      <c r="D28" s="20" t="s">
        <v>290</v>
      </c>
      <c r="E28" s="20">
        <v>6</v>
      </c>
      <c r="F28" s="23" t="s">
        <v>385</v>
      </c>
      <c r="G28" s="23" t="s">
        <v>386</v>
      </c>
      <c r="H28" s="23" t="s">
        <v>387</v>
      </c>
      <c r="I28" s="23" t="s">
        <v>388</v>
      </c>
      <c r="J28" s="23" t="s">
        <v>389</v>
      </c>
      <c r="K28" s="23">
        <v>9</v>
      </c>
      <c r="L28" s="23">
        <v>9</v>
      </c>
      <c r="M28" s="23">
        <v>8</v>
      </c>
      <c r="N28" s="23">
        <v>7</v>
      </c>
      <c r="O28" s="51" t="s">
        <v>390</v>
      </c>
      <c r="P28" s="52" t="s">
        <v>391</v>
      </c>
      <c r="Q28" s="23" t="s">
        <v>187</v>
      </c>
      <c r="R28" s="23" t="s">
        <v>392</v>
      </c>
      <c r="S28" s="23" t="s">
        <v>393</v>
      </c>
      <c r="T28" s="23" t="s">
        <v>394</v>
      </c>
      <c r="U28" s="23" t="s">
        <v>395</v>
      </c>
      <c r="V28" s="23" t="s">
        <v>396</v>
      </c>
      <c r="W28" s="23" t="s">
        <v>397</v>
      </c>
      <c r="X28" s="23" t="s">
        <v>380</v>
      </c>
      <c r="Y28" s="39" t="s">
        <v>398</v>
      </c>
      <c r="Z28" s="23" t="s">
        <v>399</v>
      </c>
      <c r="AA28" s="36" t="s">
        <v>400</v>
      </c>
    </row>
    <row r="29" spans="1:27" ht="58">
      <c r="A29" s="7" t="s">
        <v>401</v>
      </c>
      <c r="B29" s="20" t="s">
        <v>402</v>
      </c>
      <c r="C29" s="20" t="s">
        <v>79</v>
      </c>
      <c r="D29" s="20" t="s">
        <v>290</v>
      </c>
      <c r="E29" s="20">
        <v>7</v>
      </c>
      <c r="F29" s="23" t="s">
        <v>403</v>
      </c>
      <c r="G29" s="23" t="s">
        <v>404</v>
      </c>
      <c r="H29" s="23" t="s">
        <v>405</v>
      </c>
      <c r="I29" s="23" t="s">
        <v>406</v>
      </c>
      <c r="J29" s="23" t="s">
        <v>407</v>
      </c>
      <c r="K29" s="23">
        <v>8</v>
      </c>
      <c r="L29" s="23">
        <v>8</v>
      </c>
      <c r="M29" s="23">
        <v>9</v>
      </c>
      <c r="N29" s="23">
        <v>7</v>
      </c>
      <c r="O29" s="23" t="s">
        <v>372</v>
      </c>
      <c r="P29" s="52" t="s">
        <v>408</v>
      </c>
      <c r="Q29" s="23" t="s">
        <v>187</v>
      </c>
      <c r="R29" s="23">
        <v>1</v>
      </c>
      <c r="S29" s="23" t="s">
        <v>225</v>
      </c>
      <c r="T29" s="23" t="s">
        <v>409</v>
      </c>
      <c r="U29" s="23" t="s">
        <v>410</v>
      </c>
      <c r="V29" s="23" t="s">
        <v>411</v>
      </c>
      <c r="W29" s="23" t="s">
        <v>412</v>
      </c>
      <c r="X29" s="23" t="s">
        <v>380</v>
      </c>
      <c r="Y29" s="23" t="s">
        <v>413</v>
      </c>
      <c r="Z29" s="23" t="s">
        <v>414</v>
      </c>
      <c r="AA29" s="36" t="s">
        <v>415</v>
      </c>
    </row>
    <row r="30" spans="1:27" ht="58">
      <c r="A30" s="7" t="s">
        <v>416</v>
      </c>
      <c r="B30" s="20" t="s">
        <v>417</v>
      </c>
      <c r="C30" s="20" t="s">
        <v>69</v>
      </c>
      <c r="D30" s="20" t="s">
        <v>290</v>
      </c>
      <c r="E30" s="20">
        <v>8</v>
      </c>
      <c r="F30" s="23" t="s">
        <v>418</v>
      </c>
      <c r="G30" s="23" t="s">
        <v>419</v>
      </c>
      <c r="H30" s="23" t="s">
        <v>420</v>
      </c>
      <c r="I30" s="23" t="s">
        <v>421</v>
      </c>
      <c r="J30" s="23" t="s">
        <v>422</v>
      </c>
      <c r="K30" s="23">
        <v>8</v>
      </c>
      <c r="L30" s="23">
        <v>8</v>
      </c>
      <c r="M30" s="23">
        <v>9</v>
      </c>
      <c r="N30" s="23">
        <v>8</v>
      </c>
      <c r="O30" s="53">
        <v>45870</v>
      </c>
      <c r="P30" s="37">
        <v>7.2</v>
      </c>
      <c r="Q30" s="23" t="s">
        <v>187</v>
      </c>
      <c r="R30" s="23" t="s">
        <v>423</v>
      </c>
      <c r="S30" s="23" t="s">
        <v>171</v>
      </c>
      <c r="T30" s="23" t="s">
        <v>424</v>
      </c>
      <c r="U30" s="23" t="s">
        <v>425</v>
      </c>
      <c r="V30" s="23" t="s">
        <v>426</v>
      </c>
      <c r="W30" s="23" t="s">
        <v>427</v>
      </c>
      <c r="X30" s="23" t="s">
        <v>380</v>
      </c>
      <c r="Y30" s="39" t="s">
        <v>428</v>
      </c>
      <c r="Z30" s="23" t="s">
        <v>429</v>
      </c>
      <c r="AA30" s="59"/>
    </row>
    <row r="31" spans="1:27" ht="58">
      <c r="A31" s="7" t="s">
        <v>430</v>
      </c>
      <c r="B31" s="20" t="s">
        <v>431</v>
      </c>
      <c r="C31" s="20" t="s">
        <v>79</v>
      </c>
      <c r="D31" s="20" t="s">
        <v>290</v>
      </c>
      <c r="E31" s="20">
        <v>9</v>
      </c>
      <c r="F31" s="23" t="s">
        <v>432</v>
      </c>
      <c r="G31" s="23" t="s">
        <v>433</v>
      </c>
      <c r="H31" s="23" t="s">
        <v>434</v>
      </c>
      <c r="I31" s="23" t="s">
        <v>435</v>
      </c>
      <c r="J31" s="23" t="s">
        <v>436</v>
      </c>
      <c r="K31" s="23">
        <v>9</v>
      </c>
      <c r="L31" s="23">
        <v>8</v>
      </c>
      <c r="M31" s="23">
        <v>8</v>
      </c>
      <c r="N31" s="23">
        <v>6</v>
      </c>
      <c r="O31" s="53">
        <v>18445</v>
      </c>
      <c r="P31" s="37">
        <v>75</v>
      </c>
      <c r="Q31" s="23" t="s">
        <v>187</v>
      </c>
      <c r="R31" s="23" t="s">
        <v>437</v>
      </c>
      <c r="S31" s="23" t="s">
        <v>438</v>
      </c>
      <c r="T31" s="23" t="s">
        <v>439</v>
      </c>
      <c r="U31" s="23" t="s">
        <v>440</v>
      </c>
      <c r="V31" s="23" t="s">
        <v>441</v>
      </c>
      <c r="W31" s="23" t="s">
        <v>442</v>
      </c>
      <c r="X31" s="23" t="s">
        <v>380</v>
      </c>
      <c r="Y31" s="39" t="s">
        <v>443</v>
      </c>
      <c r="Z31" s="23" t="s">
        <v>444</v>
      </c>
      <c r="AA31" s="59"/>
    </row>
    <row r="32" spans="1:27" ht="58">
      <c r="A32" s="7" t="s">
        <v>445</v>
      </c>
      <c r="B32" s="20" t="s">
        <v>446</v>
      </c>
      <c r="C32" s="49" t="s">
        <v>79</v>
      </c>
      <c r="D32" s="20" t="s">
        <v>290</v>
      </c>
      <c r="E32" s="20">
        <v>9</v>
      </c>
      <c r="F32" s="23" t="s">
        <v>447</v>
      </c>
      <c r="G32" s="23" t="s">
        <v>448</v>
      </c>
      <c r="H32" s="23" t="s">
        <v>449</v>
      </c>
      <c r="I32" s="23" t="s">
        <v>450</v>
      </c>
      <c r="J32" s="23" t="s">
        <v>451</v>
      </c>
      <c r="K32" s="23">
        <v>8</v>
      </c>
      <c r="L32" s="23">
        <v>8</v>
      </c>
      <c r="M32" s="23">
        <v>9</v>
      </c>
      <c r="N32" s="23">
        <v>7</v>
      </c>
      <c r="O32" s="53">
        <v>45839</v>
      </c>
      <c r="P32" s="37">
        <v>73</v>
      </c>
      <c r="Q32" s="23" t="s">
        <v>187</v>
      </c>
      <c r="R32" s="23" t="s">
        <v>437</v>
      </c>
      <c r="S32" s="23" t="s">
        <v>452</v>
      </c>
      <c r="T32" s="23" t="s">
        <v>453</v>
      </c>
      <c r="U32" s="23" t="s">
        <v>454</v>
      </c>
      <c r="V32" s="23" t="s">
        <v>455</v>
      </c>
      <c r="W32" s="23" t="s">
        <v>442</v>
      </c>
      <c r="X32" s="23" t="s">
        <v>380</v>
      </c>
      <c r="Y32" s="39" t="s">
        <v>443</v>
      </c>
      <c r="Z32" s="23" t="s">
        <v>456</v>
      </c>
      <c r="AA32" s="36" t="s">
        <v>457</v>
      </c>
    </row>
    <row r="33" spans="1:27" ht="58">
      <c r="A33" s="7" t="s">
        <v>458</v>
      </c>
      <c r="B33" s="20" t="s">
        <v>459</v>
      </c>
      <c r="C33" s="20" t="s">
        <v>79</v>
      </c>
      <c r="D33" s="20" t="s">
        <v>290</v>
      </c>
      <c r="E33" s="20">
        <v>9</v>
      </c>
      <c r="F33" s="23" t="s">
        <v>460</v>
      </c>
      <c r="G33" s="23" t="s">
        <v>461</v>
      </c>
      <c r="H33" s="23" t="s">
        <v>462</v>
      </c>
      <c r="I33" s="23" t="s">
        <v>463</v>
      </c>
      <c r="J33" s="23" t="s">
        <v>464</v>
      </c>
      <c r="K33" s="23">
        <v>7</v>
      </c>
      <c r="L33" s="23">
        <v>6</v>
      </c>
      <c r="M33" s="23">
        <v>9</v>
      </c>
      <c r="N33" s="23">
        <v>5</v>
      </c>
      <c r="O33" s="23" t="s">
        <v>465</v>
      </c>
      <c r="P33" s="37">
        <v>70</v>
      </c>
      <c r="Q33" s="23" t="s">
        <v>187</v>
      </c>
      <c r="R33" s="23" t="s">
        <v>437</v>
      </c>
      <c r="S33" s="23" t="s">
        <v>466</v>
      </c>
      <c r="T33" s="23" t="s">
        <v>467</v>
      </c>
      <c r="U33" s="23" t="s">
        <v>468</v>
      </c>
      <c r="V33" s="23" t="s">
        <v>469</v>
      </c>
      <c r="W33" s="23" t="s">
        <v>442</v>
      </c>
      <c r="X33" s="23" t="s">
        <v>380</v>
      </c>
      <c r="Y33" s="39" t="s">
        <v>443</v>
      </c>
      <c r="Z33" s="23" t="s">
        <v>470</v>
      </c>
      <c r="AA33" s="36" t="s">
        <v>471</v>
      </c>
    </row>
    <row r="34" spans="1:27" ht="72.5">
      <c r="A34" s="7" t="s">
        <v>472</v>
      </c>
      <c r="B34" s="20" t="s">
        <v>473</v>
      </c>
      <c r="C34" s="20" t="s">
        <v>92</v>
      </c>
      <c r="D34" s="20" t="s">
        <v>290</v>
      </c>
      <c r="E34" s="20">
        <v>9</v>
      </c>
      <c r="F34" s="23" t="s">
        <v>474</v>
      </c>
      <c r="G34" s="23" t="s">
        <v>475</v>
      </c>
      <c r="H34" s="23" t="s">
        <v>476</v>
      </c>
      <c r="I34" s="23" t="s">
        <v>477</v>
      </c>
      <c r="J34" s="23" t="s">
        <v>478</v>
      </c>
      <c r="K34" s="23">
        <v>7</v>
      </c>
      <c r="L34" s="23">
        <v>5</v>
      </c>
      <c r="M34" s="23">
        <v>7</v>
      </c>
      <c r="N34" s="23">
        <v>8</v>
      </c>
      <c r="O34" s="53">
        <v>18384</v>
      </c>
      <c r="P34" s="37">
        <v>55</v>
      </c>
      <c r="Q34" s="23" t="s">
        <v>225</v>
      </c>
      <c r="R34" s="23" t="s">
        <v>437</v>
      </c>
      <c r="S34" s="23" t="s">
        <v>479</v>
      </c>
      <c r="T34" s="23" t="s">
        <v>480</v>
      </c>
      <c r="U34" s="23" t="s">
        <v>481</v>
      </c>
      <c r="V34" s="23" t="s">
        <v>482</v>
      </c>
      <c r="W34" s="23" t="s">
        <v>442</v>
      </c>
      <c r="X34" s="23" t="s">
        <v>380</v>
      </c>
      <c r="Y34" s="39" t="s">
        <v>443</v>
      </c>
      <c r="Z34" s="23" t="s">
        <v>483</v>
      </c>
      <c r="AA34" s="59"/>
    </row>
    <row r="35" spans="1:27" s="56" customFormat="1" ht="29">
      <c r="A35" s="54" t="s">
        <v>484</v>
      </c>
      <c r="B35" s="55" t="s">
        <v>485</v>
      </c>
      <c r="C35" s="55" t="s">
        <v>486</v>
      </c>
      <c r="D35" s="55" t="s">
        <v>487</v>
      </c>
      <c r="E35" s="58" t="s">
        <v>488</v>
      </c>
      <c r="F35" s="55" t="s">
        <v>489</v>
      </c>
      <c r="G35" s="55" t="s">
        <v>490</v>
      </c>
      <c r="H35" s="55" t="s">
        <v>491</v>
      </c>
      <c r="I35" s="85" t="s">
        <v>492</v>
      </c>
      <c r="J35" s="85" t="s">
        <v>493</v>
      </c>
      <c r="K35" s="85">
        <v>8</v>
      </c>
      <c r="L35" s="85">
        <v>7</v>
      </c>
      <c r="M35" s="85">
        <v>7</v>
      </c>
      <c r="N35" s="85">
        <v>8</v>
      </c>
      <c r="O35" s="85">
        <v>7.5</v>
      </c>
      <c r="P35" s="86">
        <v>2.2999999999999998</v>
      </c>
      <c r="Q35" s="85" t="s">
        <v>225</v>
      </c>
      <c r="R35" s="85">
        <v>13</v>
      </c>
      <c r="S35" s="23" t="s">
        <v>393</v>
      </c>
      <c r="T35" s="85" t="s">
        <v>494</v>
      </c>
      <c r="U35" s="85" t="s">
        <v>495</v>
      </c>
      <c r="V35" s="85" t="s">
        <v>496</v>
      </c>
      <c r="W35" s="85" t="s">
        <v>76</v>
      </c>
      <c r="X35" s="87" t="s">
        <v>487</v>
      </c>
      <c r="Y35" s="20" t="s">
        <v>497</v>
      </c>
      <c r="Z35" s="85" t="s">
        <v>498</v>
      </c>
      <c r="AA35" s="88" t="s">
        <v>499</v>
      </c>
    </row>
    <row r="36" spans="1:27" s="56" customFormat="1">
      <c r="A36" s="54" t="s">
        <v>500</v>
      </c>
      <c r="B36" s="55" t="s">
        <v>501</v>
      </c>
      <c r="C36" s="55" t="s">
        <v>502</v>
      </c>
      <c r="D36" s="55" t="s">
        <v>487</v>
      </c>
      <c r="E36" s="57">
        <v>6</v>
      </c>
      <c r="F36" s="55" t="s">
        <v>503</v>
      </c>
      <c r="G36" s="55" t="s">
        <v>504</v>
      </c>
      <c r="H36" s="55" t="s">
        <v>505</v>
      </c>
      <c r="I36" s="85" t="s">
        <v>506</v>
      </c>
      <c r="J36" s="85" t="s">
        <v>507</v>
      </c>
      <c r="K36" s="85">
        <v>9</v>
      </c>
      <c r="L36" s="85">
        <v>9</v>
      </c>
      <c r="M36" s="85">
        <v>8</v>
      </c>
      <c r="N36" s="85">
        <v>7</v>
      </c>
      <c r="O36" s="85">
        <v>8.25</v>
      </c>
      <c r="P36" s="86">
        <v>3.3</v>
      </c>
      <c r="Q36" s="85" t="s">
        <v>187</v>
      </c>
      <c r="R36" s="85">
        <v>12</v>
      </c>
      <c r="S36" s="23" t="s">
        <v>393</v>
      </c>
      <c r="T36" s="85" t="s">
        <v>508</v>
      </c>
      <c r="U36" s="85" t="s">
        <v>509</v>
      </c>
      <c r="V36" s="85" t="s">
        <v>510</v>
      </c>
      <c r="W36" s="85" t="s">
        <v>76</v>
      </c>
      <c r="X36" s="87" t="s">
        <v>487</v>
      </c>
      <c r="Y36" s="20" t="s">
        <v>398</v>
      </c>
      <c r="Z36" s="20" t="s">
        <v>511</v>
      </c>
      <c r="AA36" s="88" t="s">
        <v>512</v>
      </c>
    </row>
    <row r="37" spans="1:27" s="56" customFormat="1" ht="43.5">
      <c r="A37" s="54" t="s">
        <v>513</v>
      </c>
      <c r="B37" s="55" t="s">
        <v>514</v>
      </c>
      <c r="C37" s="55" t="s">
        <v>515</v>
      </c>
      <c r="D37" s="55" t="s">
        <v>487</v>
      </c>
      <c r="E37" s="57">
        <v>7</v>
      </c>
      <c r="F37" s="55" t="s">
        <v>516</v>
      </c>
      <c r="G37" s="55" t="s">
        <v>517</v>
      </c>
      <c r="H37" s="55" t="s">
        <v>518</v>
      </c>
      <c r="I37" s="85" t="s">
        <v>519</v>
      </c>
      <c r="J37" s="85" t="s">
        <v>520</v>
      </c>
      <c r="K37" s="85">
        <v>8</v>
      </c>
      <c r="L37" s="85">
        <v>7</v>
      </c>
      <c r="M37" s="85">
        <v>8</v>
      </c>
      <c r="N37" s="85">
        <v>9</v>
      </c>
      <c r="O37" s="85">
        <v>8</v>
      </c>
      <c r="P37" s="86">
        <v>1.6</v>
      </c>
      <c r="Q37" s="85" t="s">
        <v>225</v>
      </c>
      <c r="R37" s="85">
        <v>11</v>
      </c>
      <c r="S37" s="85" t="s">
        <v>225</v>
      </c>
      <c r="T37" s="85" t="s">
        <v>521</v>
      </c>
      <c r="U37" s="85" t="s">
        <v>522</v>
      </c>
      <c r="V37" s="85" t="s">
        <v>523</v>
      </c>
      <c r="W37" s="85" t="s">
        <v>76</v>
      </c>
      <c r="X37" s="87" t="s">
        <v>487</v>
      </c>
      <c r="Y37" s="20" t="s">
        <v>413</v>
      </c>
      <c r="Z37" s="20" t="s">
        <v>524</v>
      </c>
      <c r="AA37" s="88" t="s">
        <v>525</v>
      </c>
    </row>
    <row r="38" spans="1:27" s="56" customFormat="1">
      <c r="A38" s="54" t="s">
        <v>526</v>
      </c>
      <c r="B38" s="55" t="s">
        <v>527</v>
      </c>
      <c r="C38" s="55" t="s">
        <v>528</v>
      </c>
      <c r="D38" s="55" t="s">
        <v>487</v>
      </c>
      <c r="E38" s="57">
        <v>8</v>
      </c>
      <c r="F38" s="55" t="s">
        <v>529</v>
      </c>
      <c r="G38" s="55" t="s">
        <v>530</v>
      </c>
      <c r="H38" s="55" t="s">
        <v>531</v>
      </c>
      <c r="I38" s="85" t="s">
        <v>532</v>
      </c>
      <c r="J38" s="85" t="s">
        <v>533</v>
      </c>
      <c r="K38" s="85">
        <v>8</v>
      </c>
      <c r="L38" s="85">
        <v>8</v>
      </c>
      <c r="M38" s="85">
        <v>9</v>
      </c>
      <c r="N38" s="85">
        <v>8</v>
      </c>
      <c r="O38" s="85">
        <v>8.25</v>
      </c>
      <c r="P38" s="86">
        <v>2.5</v>
      </c>
      <c r="Q38" s="85" t="s">
        <v>225</v>
      </c>
      <c r="R38" s="85">
        <v>10</v>
      </c>
      <c r="S38" s="23" t="s">
        <v>393</v>
      </c>
      <c r="T38" s="85" t="s">
        <v>534</v>
      </c>
      <c r="U38" s="85" t="s">
        <v>535</v>
      </c>
      <c r="V38" s="85" t="s">
        <v>536</v>
      </c>
      <c r="W38" s="85" t="s">
        <v>76</v>
      </c>
      <c r="X38" s="87" t="s">
        <v>487</v>
      </c>
      <c r="Y38" s="20" t="s">
        <v>428</v>
      </c>
      <c r="Z38" s="85" t="s">
        <v>537</v>
      </c>
      <c r="AA38" s="88" t="s">
        <v>538</v>
      </c>
    </row>
    <row r="39" spans="1:27" s="56" customFormat="1" ht="29">
      <c r="A39" s="54" t="s">
        <v>539</v>
      </c>
      <c r="B39" s="55" t="s">
        <v>540</v>
      </c>
      <c r="C39" s="55" t="s">
        <v>541</v>
      </c>
      <c r="D39" s="55" t="s">
        <v>487</v>
      </c>
      <c r="E39" s="57">
        <v>10</v>
      </c>
      <c r="F39" s="55" t="s">
        <v>542</v>
      </c>
      <c r="G39" s="55" t="s">
        <v>543</v>
      </c>
      <c r="H39" s="55" t="s">
        <v>544</v>
      </c>
      <c r="I39" s="85" t="s">
        <v>545</v>
      </c>
      <c r="J39" s="85" t="s">
        <v>546</v>
      </c>
      <c r="K39" s="85">
        <v>8</v>
      </c>
      <c r="L39" s="85">
        <v>7</v>
      </c>
      <c r="M39" s="85">
        <v>8</v>
      </c>
      <c r="N39" s="85">
        <v>9</v>
      </c>
      <c r="O39" s="85">
        <v>8</v>
      </c>
      <c r="P39" s="86">
        <v>1.6</v>
      </c>
      <c r="Q39" s="85" t="s">
        <v>225</v>
      </c>
      <c r="R39" s="85">
        <v>14</v>
      </c>
      <c r="S39" s="85" t="s">
        <v>225</v>
      </c>
      <c r="T39" s="85" t="s">
        <v>547</v>
      </c>
      <c r="U39" s="85" t="s">
        <v>535</v>
      </c>
      <c r="V39" s="85" t="s">
        <v>548</v>
      </c>
      <c r="W39" s="85" t="s">
        <v>76</v>
      </c>
      <c r="X39" s="87" t="s">
        <v>487</v>
      </c>
      <c r="Y39" s="20" t="s">
        <v>549</v>
      </c>
      <c r="Z39" s="85" t="s">
        <v>550</v>
      </c>
      <c r="AA39" s="88" t="s">
        <v>551</v>
      </c>
    </row>
    <row r="40" spans="1:27">
      <c r="A40" s="7" t="s">
        <v>552</v>
      </c>
      <c r="B40" s="20" t="s">
        <v>1124</v>
      </c>
      <c r="C40" s="20" t="s">
        <v>1126</v>
      </c>
      <c r="D40" s="20" t="s">
        <v>1127</v>
      </c>
      <c r="E40" s="20">
        <v>10</v>
      </c>
      <c r="F40" s="20" t="s">
        <v>1128</v>
      </c>
      <c r="G40" s="20" t="s">
        <v>1129</v>
      </c>
      <c r="H40" s="20" t="s">
        <v>1130</v>
      </c>
      <c r="I40" s="20" t="s">
        <v>1131</v>
      </c>
      <c r="J40" s="20" t="s">
        <v>1132</v>
      </c>
      <c r="K40" s="20">
        <v>9</v>
      </c>
      <c r="L40" s="20">
        <v>8</v>
      </c>
      <c r="M40" s="20">
        <v>8</v>
      </c>
      <c r="N40" s="20">
        <v>6</v>
      </c>
      <c r="O40" s="20">
        <v>25</v>
      </c>
      <c r="P40" s="22">
        <v>19</v>
      </c>
      <c r="Q40" s="20" t="s">
        <v>225</v>
      </c>
      <c r="R40" s="23" t="s">
        <v>437</v>
      </c>
      <c r="S40" s="20" t="s">
        <v>187</v>
      </c>
      <c r="T40" s="20" t="s">
        <v>1140</v>
      </c>
      <c r="U40" s="20" t="s">
        <v>1142</v>
      </c>
      <c r="V40" s="20" t="s">
        <v>1144</v>
      </c>
      <c r="W40" s="20" t="s">
        <v>76</v>
      </c>
      <c r="X40" s="20" t="s">
        <v>1125</v>
      </c>
      <c r="Y40" s="20" t="s">
        <v>549</v>
      </c>
      <c r="Z40" s="20" t="s">
        <v>1146</v>
      </c>
      <c r="AA40" s="97" t="s">
        <v>1149</v>
      </c>
    </row>
    <row r="41" spans="1:27">
      <c r="A41" s="7" t="s">
        <v>554</v>
      </c>
      <c r="B41" s="20" t="s">
        <v>1133</v>
      </c>
      <c r="C41" s="20" t="s">
        <v>1134</v>
      </c>
      <c r="D41" s="20" t="s">
        <v>1127</v>
      </c>
      <c r="E41" s="20">
        <v>8</v>
      </c>
      <c r="F41" s="20" t="s">
        <v>1135</v>
      </c>
      <c r="G41" s="20" t="s">
        <v>1136</v>
      </c>
      <c r="H41" s="20" t="s">
        <v>1137</v>
      </c>
      <c r="I41" s="20" t="s">
        <v>1138</v>
      </c>
      <c r="J41" s="20" t="s">
        <v>1139</v>
      </c>
      <c r="K41" s="20">
        <v>8</v>
      </c>
      <c r="L41" s="20">
        <v>9</v>
      </c>
      <c r="M41" s="20">
        <v>7</v>
      </c>
      <c r="N41" s="20">
        <v>4</v>
      </c>
      <c r="O41" s="20">
        <v>24</v>
      </c>
      <c r="P41" s="22">
        <v>20</v>
      </c>
      <c r="Q41" s="20" t="s">
        <v>225</v>
      </c>
      <c r="R41" s="23" t="s">
        <v>437</v>
      </c>
      <c r="S41" s="20" t="s">
        <v>187</v>
      </c>
      <c r="T41" s="20" t="s">
        <v>1141</v>
      </c>
      <c r="U41" s="20" t="s">
        <v>1143</v>
      </c>
      <c r="V41" s="20" t="s">
        <v>1145</v>
      </c>
      <c r="W41" s="20" t="s">
        <v>76</v>
      </c>
      <c r="X41" s="20" t="s">
        <v>1125</v>
      </c>
      <c r="Y41" s="20" t="s">
        <v>428</v>
      </c>
      <c r="Z41" s="20" t="s">
        <v>1147</v>
      </c>
      <c r="AA41" s="97" t="s">
        <v>1148</v>
      </c>
    </row>
    <row r="42" spans="1:27">
      <c r="A42" s="7" t="s">
        <v>556</v>
      </c>
      <c r="B42" s="20"/>
      <c r="C42" s="20"/>
      <c r="D42" s="20"/>
      <c r="E42" s="20"/>
      <c r="F42" s="20"/>
      <c r="G42" s="20"/>
      <c r="H42" s="20"/>
      <c r="I42" s="20"/>
      <c r="J42" s="20"/>
      <c r="K42" s="20"/>
      <c r="L42" s="20"/>
      <c r="M42" s="20"/>
      <c r="N42" s="20"/>
      <c r="O42" s="20"/>
      <c r="P42" s="22"/>
      <c r="Q42" s="20"/>
      <c r="R42" s="20"/>
      <c r="S42" s="20"/>
      <c r="T42" s="20"/>
      <c r="U42" s="20"/>
      <c r="V42" s="20"/>
      <c r="W42" s="20"/>
      <c r="X42" s="20"/>
      <c r="Y42" s="20"/>
      <c r="Z42" s="20"/>
      <c r="AA42" s="20"/>
    </row>
    <row r="43" spans="1:27">
      <c r="A43" s="7" t="s">
        <v>557</v>
      </c>
      <c r="B43" s="20"/>
      <c r="C43" s="20"/>
      <c r="D43" s="20"/>
      <c r="E43" s="20"/>
      <c r="F43" s="20"/>
      <c r="G43" s="20"/>
      <c r="H43" s="20"/>
      <c r="I43" s="20"/>
      <c r="J43" s="20"/>
      <c r="K43" s="20"/>
      <c r="L43" s="20"/>
      <c r="M43" s="20"/>
      <c r="N43" s="20"/>
      <c r="O43" s="20"/>
      <c r="P43" s="22"/>
      <c r="Q43" s="20"/>
      <c r="R43" s="20"/>
      <c r="S43" s="20"/>
      <c r="T43" s="20"/>
      <c r="U43" s="20"/>
      <c r="V43" s="20"/>
      <c r="W43" s="20"/>
      <c r="X43" s="20"/>
      <c r="Y43" s="20"/>
      <c r="Z43" s="20"/>
      <c r="AA43" s="20"/>
    </row>
    <row r="44" spans="1:27">
      <c r="A44" s="54" t="s">
        <v>331</v>
      </c>
      <c r="B44" s="20" t="s">
        <v>332</v>
      </c>
      <c r="C44" s="20" t="s">
        <v>1203</v>
      </c>
      <c r="D44" s="20" t="s">
        <v>1204</v>
      </c>
      <c r="E44" s="40" t="s">
        <v>312</v>
      </c>
      <c r="F44" s="20" t="s">
        <v>1205</v>
      </c>
      <c r="G44" s="20" t="s">
        <v>1206</v>
      </c>
      <c r="H44" s="20" t="s">
        <v>1207</v>
      </c>
      <c r="I44" s="20" t="s">
        <v>1208</v>
      </c>
      <c r="J44" s="20" t="s">
        <v>1209</v>
      </c>
      <c r="K44" s="20">
        <v>8</v>
      </c>
      <c r="L44" s="20">
        <v>7</v>
      </c>
      <c r="M44" s="20">
        <v>9</v>
      </c>
      <c r="N44" s="20">
        <v>6</v>
      </c>
      <c r="O44" s="23">
        <v>30</v>
      </c>
      <c r="P44" s="22">
        <v>7.3</v>
      </c>
      <c r="Q44" s="20" t="s">
        <v>187</v>
      </c>
      <c r="R44" s="20" t="s">
        <v>1210</v>
      </c>
      <c r="S44" s="20" t="s">
        <v>1211</v>
      </c>
      <c r="T44" s="20" t="s">
        <v>1212</v>
      </c>
      <c r="U44" s="20" t="s">
        <v>1213</v>
      </c>
      <c r="V44" s="20" t="s">
        <v>1214</v>
      </c>
      <c r="W44" s="20" t="s">
        <v>1215</v>
      </c>
      <c r="X44" s="20" t="s">
        <v>1204</v>
      </c>
      <c r="Y44" s="20">
        <v>2025</v>
      </c>
      <c r="Z44" s="20" t="s">
        <v>1216</v>
      </c>
      <c r="AA44" s="20" t="s">
        <v>592</v>
      </c>
    </row>
    <row r="45" spans="1:27">
      <c r="A45" s="54" t="s">
        <v>333</v>
      </c>
      <c r="B45" s="20" t="s">
        <v>1217</v>
      </c>
      <c r="C45" s="20" t="s">
        <v>1218</v>
      </c>
      <c r="D45" s="20" t="s">
        <v>335</v>
      </c>
      <c r="E45" s="20">
        <v>2</v>
      </c>
      <c r="F45" s="20" t="s">
        <v>1219</v>
      </c>
      <c r="G45" s="20" t="s">
        <v>1220</v>
      </c>
      <c r="H45" s="20" t="s">
        <v>1221</v>
      </c>
      <c r="I45" s="20" t="s">
        <v>1222</v>
      </c>
      <c r="J45" s="20" t="s">
        <v>1223</v>
      </c>
      <c r="K45" s="20">
        <v>9</v>
      </c>
      <c r="L45" s="20">
        <v>9</v>
      </c>
      <c r="M45" s="20">
        <v>8</v>
      </c>
      <c r="N45" s="20">
        <v>6</v>
      </c>
      <c r="O45" s="23">
        <v>32</v>
      </c>
      <c r="P45" s="22">
        <v>8</v>
      </c>
      <c r="Q45" s="20" t="s">
        <v>1224</v>
      </c>
      <c r="R45" s="20" t="s">
        <v>1225</v>
      </c>
      <c r="S45" s="20" t="s">
        <v>1226</v>
      </c>
      <c r="T45" s="20" t="s">
        <v>1227</v>
      </c>
      <c r="U45" s="20" t="s">
        <v>1228</v>
      </c>
      <c r="V45" s="20" t="s">
        <v>1229</v>
      </c>
      <c r="W45" s="20" t="s">
        <v>1230</v>
      </c>
      <c r="X45" s="20" t="s">
        <v>335</v>
      </c>
      <c r="Y45" s="20" t="s">
        <v>1231</v>
      </c>
      <c r="Z45" s="20" t="s">
        <v>1232</v>
      </c>
      <c r="AA45" s="20" t="s">
        <v>1233</v>
      </c>
    </row>
    <row r="46" spans="1:27" ht="29">
      <c r="A46" s="54" t="s">
        <v>350</v>
      </c>
      <c r="B46" s="23" t="s">
        <v>1234</v>
      </c>
      <c r="C46" s="20" t="s">
        <v>1235</v>
      </c>
      <c r="D46" s="26" t="s">
        <v>335</v>
      </c>
      <c r="E46" s="47" t="s">
        <v>351</v>
      </c>
      <c r="F46" s="20" t="s">
        <v>1236</v>
      </c>
      <c r="G46" s="20" t="s">
        <v>1237</v>
      </c>
      <c r="H46" s="20" t="s">
        <v>1238</v>
      </c>
      <c r="I46" s="20" t="s">
        <v>1239</v>
      </c>
      <c r="J46" s="20" t="s">
        <v>1240</v>
      </c>
      <c r="K46" s="20">
        <v>9</v>
      </c>
      <c r="L46" s="20">
        <v>7</v>
      </c>
      <c r="M46" s="20">
        <v>7</v>
      </c>
      <c r="N46" s="20">
        <v>8</v>
      </c>
      <c r="O46" s="23">
        <v>31</v>
      </c>
      <c r="P46" s="22">
        <v>6.8</v>
      </c>
      <c r="Q46" s="20" t="s">
        <v>187</v>
      </c>
      <c r="R46" s="20" t="s">
        <v>1210</v>
      </c>
      <c r="S46" s="20" t="s">
        <v>1241</v>
      </c>
      <c r="T46" s="20" t="s">
        <v>1242</v>
      </c>
      <c r="U46" s="20" t="s">
        <v>1243</v>
      </c>
      <c r="V46" s="20" t="s">
        <v>1244</v>
      </c>
      <c r="W46" s="20" t="s">
        <v>1245</v>
      </c>
      <c r="X46" s="20" t="s">
        <v>335</v>
      </c>
      <c r="Y46" s="20" t="s">
        <v>1231</v>
      </c>
      <c r="Z46" s="20" t="s">
        <v>1246</v>
      </c>
      <c r="AA46" s="20" t="s">
        <v>1247</v>
      </c>
    </row>
    <row r="47" spans="1:27">
      <c r="A47" s="54" t="s">
        <v>352</v>
      </c>
      <c r="B47" s="20" t="s">
        <v>353</v>
      </c>
      <c r="C47" s="20" t="s">
        <v>1248</v>
      </c>
      <c r="D47" s="26" t="s">
        <v>335</v>
      </c>
      <c r="E47" s="20">
        <v>4</v>
      </c>
      <c r="F47" s="20" t="s">
        <v>1249</v>
      </c>
      <c r="G47" s="20" t="s">
        <v>1250</v>
      </c>
      <c r="H47" s="20" t="s">
        <v>1251</v>
      </c>
      <c r="I47" s="20" t="s">
        <v>1252</v>
      </c>
      <c r="J47" s="20" t="s">
        <v>1253</v>
      </c>
      <c r="K47" s="20">
        <v>8</v>
      </c>
      <c r="L47" s="20">
        <v>9</v>
      </c>
      <c r="M47" s="20">
        <v>7</v>
      </c>
      <c r="N47" s="20">
        <v>6</v>
      </c>
      <c r="O47" s="23">
        <v>30</v>
      </c>
      <c r="P47" s="22">
        <v>7.7</v>
      </c>
      <c r="Q47" s="20" t="s">
        <v>1224</v>
      </c>
      <c r="R47" s="20" t="s">
        <v>1254</v>
      </c>
      <c r="S47" s="20" t="s">
        <v>1255</v>
      </c>
      <c r="T47" s="20" t="s">
        <v>1256</v>
      </c>
      <c r="U47" s="20" t="s">
        <v>1257</v>
      </c>
      <c r="V47" s="20" t="s">
        <v>1258</v>
      </c>
      <c r="W47" s="20" t="s">
        <v>1259</v>
      </c>
      <c r="X47" s="20" t="s">
        <v>335</v>
      </c>
      <c r="Y47" s="20" t="s">
        <v>1231</v>
      </c>
      <c r="Z47" s="20" t="s">
        <v>1260</v>
      </c>
      <c r="AA47" s="20" t="s">
        <v>1261</v>
      </c>
    </row>
    <row r="48" spans="1:27">
      <c r="A48" s="54" t="s">
        <v>356</v>
      </c>
      <c r="B48" s="20" t="s">
        <v>1262</v>
      </c>
      <c r="C48" s="20" t="s">
        <v>1263</v>
      </c>
      <c r="D48" s="20" t="s">
        <v>335</v>
      </c>
      <c r="E48" s="20">
        <v>3</v>
      </c>
      <c r="F48" s="20" t="s">
        <v>1264</v>
      </c>
      <c r="G48" s="20" t="s">
        <v>1265</v>
      </c>
      <c r="H48" s="20" t="s">
        <v>1266</v>
      </c>
      <c r="I48" s="20" t="s">
        <v>1267</v>
      </c>
      <c r="J48" s="20" t="s">
        <v>1268</v>
      </c>
      <c r="K48" s="20">
        <v>7</v>
      </c>
      <c r="L48" s="20">
        <v>7</v>
      </c>
      <c r="M48" s="20">
        <v>9</v>
      </c>
      <c r="N48" s="20">
        <v>7</v>
      </c>
      <c r="O48" s="23">
        <v>30</v>
      </c>
      <c r="P48" s="22">
        <v>6.5</v>
      </c>
      <c r="Q48" s="20" t="s">
        <v>187</v>
      </c>
      <c r="R48" s="20" t="s">
        <v>1210</v>
      </c>
      <c r="S48" s="20" t="s">
        <v>1269</v>
      </c>
      <c r="T48" s="20" t="s">
        <v>1270</v>
      </c>
      <c r="U48" s="20" t="s">
        <v>1271</v>
      </c>
      <c r="V48" s="20" t="s">
        <v>1272</v>
      </c>
      <c r="W48" s="20" t="s">
        <v>1273</v>
      </c>
      <c r="X48" s="20" t="s">
        <v>335</v>
      </c>
      <c r="Y48" s="20" t="s">
        <v>1231</v>
      </c>
      <c r="Z48" s="20" t="s">
        <v>1274</v>
      </c>
      <c r="AA48" s="20" t="s">
        <v>1275</v>
      </c>
    </row>
  </sheetData>
  <autoFilter ref="A1:AA43" xr:uid="{00000000-0001-0000-0200-000000000000}">
    <sortState xmlns:xlrd2="http://schemas.microsoft.com/office/spreadsheetml/2017/richdata2" ref="A2:AA43">
      <sortCondition ref="A1:A43"/>
    </sortState>
  </autoFilter>
  <conditionalFormatting sqref="P2:P7 P14:P993">
    <cfRule type="colorScale" priority="1">
      <colorScale>
        <cfvo type="num" val="0"/>
        <cfvo type="num" val="5"/>
        <cfvo type="num" val="10"/>
        <color rgb="FFF8696B"/>
        <color rgb="FFFFEB84"/>
        <color rgb="FF63BE7B"/>
      </colorScale>
    </cfRule>
  </conditionalFormatting>
  <hyperlinks>
    <hyperlink ref="J14" r:id="rId1" xr:uid="{CE41F0C9-DBCF-4FE0-BEC9-AA8EB406743B}"/>
    <hyperlink ref="AA41" r:id="rId2" xr:uid="{E7E9D623-928C-4EED-8468-B47A35F26AE6}"/>
    <hyperlink ref="AA40" r:id="rId3" xr:uid="{A533A558-8C74-470F-891B-16B96026AE9F}"/>
    <hyperlink ref="AA46" r:id="rId4" xr:uid="{118A02F6-1C2A-4868-A204-5F26177D374F}"/>
  </hyperlinks>
  <pageMargins left="0.75" right="0.75" top="1" bottom="1" header="0.5" footer="0.5"/>
  <pageSetup paperSize="9" orientation="portrait" r:id="rId5"/>
  <extLst>
    <ext xmlns:x14="http://schemas.microsoft.com/office/spreadsheetml/2009/9/main" uri="{CCE6A557-97BC-4b89-ADB6-D9C93CAAB3DF}">
      <x14:dataValidations xmlns:xm="http://schemas.microsoft.com/office/excel/2006/main" count="2">
        <x14:dataValidation type="list" allowBlank="1" xr:uid="{00000000-0002-0000-0200-000000000000}">
          <x14:formula1>
            <xm:f>_Listen!$A$2:$A$21</xm:f>
          </x14:formula1>
          <xm:sqref>C2:E4 C6:E7 C27:C31 C33:C37 C40:E43 C49:E93 C24:C25 D24:E37 C14:E23</xm:sqref>
        </x14:dataValidation>
        <x14:dataValidation type="list" allowBlank="1" xr:uid="{00000000-0002-0000-0200-000001000000}">
          <x14:formula1>
            <xm:f>_Listen!$B$2:$B$9</xm:f>
          </x14:formula1>
          <xm:sqref>W2:W7 W49:W93 W14:W43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07B3-4BD3-490E-BEA6-42F24E992018}">
  <dimension ref="B1:R60"/>
  <sheetViews>
    <sheetView tabSelected="1" zoomScale="89" zoomScaleNormal="100" workbookViewId="0">
      <selection activeCell="L60" sqref="L60:M60"/>
    </sheetView>
  </sheetViews>
  <sheetFormatPr baseColWidth="10" defaultColWidth="11.453125" defaultRowHeight="14.5"/>
  <cols>
    <col min="3" max="3" width="28.453125" bestFit="1" customWidth="1"/>
    <col min="4" max="4" width="28.453125" customWidth="1"/>
    <col min="5" max="5" width="13.81640625" customWidth="1"/>
    <col min="6" max="6" width="15.81640625" customWidth="1"/>
    <col min="7" max="7" width="20.26953125" hidden="1" customWidth="1"/>
    <col min="8" max="8" width="0.453125" customWidth="1"/>
    <col min="9" max="9" width="56" bestFit="1" customWidth="1"/>
    <col min="10" max="10" width="35.81640625" bestFit="1" customWidth="1"/>
    <col min="11" max="11" width="35.1796875" bestFit="1" customWidth="1"/>
    <col min="12" max="12" width="52.7265625" customWidth="1"/>
    <col min="13" max="13" width="26.453125" customWidth="1"/>
    <col min="14" max="14" width="23.453125" customWidth="1"/>
    <col min="15" max="15" width="53.1796875" hidden="1" customWidth="1"/>
    <col min="16" max="16" width="19.81640625" customWidth="1"/>
    <col min="17" max="17" width="27" customWidth="1"/>
  </cols>
  <sheetData>
    <row r="1" spans="2:18">
      <c r="B1" t="s">
        <v>558</v>
      </c>
    </row>
    <row r="2" spans="2:18" ht="15.5">
      <c r="B2" s="62" t="s">
        <v>96</v>
      </c>
      <c r="C2" s="62" t="s">
        <v>559</v>
      </c>
      <c r="D2" s="62" t="s">
        <v>94</v>
      </c>
      <c r="E2" s="62" t="s">
        <v>1123</v>
      </c>
      <c r="F2" s="62" t="s">
        <v>560</v>
      </c>
      <c r="G2" s="62" t="s">
        <v>561</v>
      </c>
      <c r="H2" s="62" t="s">
        <v>562</v>
      </c>
      <c r="I2" s="62" t="s">
        <v>563</v>
      </c>
      <c r="J2" s="62" t="s">
        <v>564</v>
      </c>
      <c r="K2" s="62" t="s">
        <v>565</v>
      </c>
      <c r="L2" s="62" t="s">
        <v>566</v>
      </c>
      <c r="M2" s="62" t="s">
        <v>567</v>
      </c>
      <c r="N2" s="62" t="s">
        <v>568</v>
      </c>
      <c r="O2" s="62"/>
      <c r="P2" s="62" t="s">
        <v>569</v>
      </c>
      <c r="Q2" s="62" t="s">
        <v>570</v>
      </c>
    </row>
    <row r="3" spans="2:18">
      <c r="B3" s="20" t="s">
        <v>571</v>
      </c>
      <c r="C3" s="20" t="s">
        <v>314</v>
      </c>
      <c r="D3" s="20" t="s">
        <v>572</v>
      </c>
      <c r="E3" s="20"/>
      <c r="F3" s="20" t="s">
        <v>290</v>
      </c>
      <c r="G3" s="20" t="s">
        <v>573</v>
      </c>
      <c r="H3" s="20"/>
      <c r="I3" s="74" t="s">
        <v>574</v>
      </c>
      <c r="J3" s="82" t="s">
        <v>575</v>
      </c>
      <c r="K3" s="75"/>
      <c r="L3" s="20"/>
      <c r="M3" s="20"/>
      <c r="N3" s="20"/>
      <c r="O3" s="20"/>
      <c r="P3" s="20"/>
      <c r="Q3" s="66" t="s">
        <v>576</v>
      </c>
    </row>
    <row r="4" spans="2:18">
      <c r="B4" s="20" t="s">
        <v>571</v>
      </c>
      <c r="C4" s="20" t="s">
        <v>577</v>
      </c>
      <c r="D4" s="20" t="s">
        <v>578</v>
      </c>
      <c r="E4" s="20" t="s">
        <v>1156</v>
      </c>
      <c r="F4" s="20" t="s">
        <v>330</v>
      </c>
      <c r="G4" s="20" t="s">
        <v>573</v>
      </c>
      <c r="H4" s="20"/>
      <c r="I4" s="73" t="s">
        <v>579</v>
      </c>
      <c r="J4" s="97"/>
      <c r="K4" s="72" t="s">
        <v>580</v>
      </c>
      <c r="L4" s="97" t="s">
        <v>1157</v>
      </c>
      <c r="M4" s="20"/>
      <c r="N4" s="20" t="s">
        <v>1158</v>
      </c>
      <c r="O4" s="20"/>
      <c r="P4" s="20" t="s">
        <v>581</v>
      </c>
      <c r="Q4" s="66" t="s">
        <v>581</v>
      </c>
    </row>
    <row r="5" spans="2:18">
      <c r="B5" s="20" t="s">
        <v>571</v>
      </c>
      <c r="C5" s="20" t="s">
        <v>582</v>
      </c>
      <c r="D5" s="20" t="s">
        <v>583</v>
      </c>
      <c r="E5" s="20"/>
      <c r="F5" s="20" t="s">
        <v>311</v>
      </c>
      <c r="G5" s="20" t="s">
        <v>573</v>
      </c>
      <c r="H5" s="20"/>
      <c r="I5" s="83" t="s">
        <v>584</v>
      </c>
      <c r="J5" s="74" t="s">
        <v>585</v>
      </c>
      <c r="K5" s="72" t="s">
        <v>586</v>
      </c>
      <c r="L5" s="20"/>
      <c r="M5" s="20"/>
      <c r="N5" s="20"/>
      <c r="O5" s="20"/>
      <c r="P5" s="20"/>
      <c r="Q5" s="66" t="s">
        <v>587</v>
      </c>
      <c r="R5" s="66" t="s">
        <v>588</v>
      </c>
    </row>
    <row r="6" spans="2:18" ht="15" thickBot="1">
      <c r="B6" s="20" t="s">
        <v>571</v>
      </c>
      <c r="C6" s="20" t="s">
        <v>589</v>
      </c>
      <c r="D6" s="20" t="s">
        <v>589</v>
      </c>
      <c r="E6" s="20" t="s">
        <v>1297</v>
      </c>
      <c r="F6" s="20" t="s">
        <v>1204</v>
      </c>
      <c r="G6" s="20" t="s">
        <v>590</v>
      </c>
      <c r="H6" s="20"/>
      <c r="I6" s="20" t="s">
        <v>591</v>
      </c>
      <c r="J6" s="20" t="s">
        <v>592</v>
      </c>
      <c r="K6" s="20"/>
      <c r="L6" s="20"/>
      <c r="M6" s="20"/>
      <c r="N6" s="20" t="s">
        <v>1280</v>
      </c>
      <c r="O6" s="20"/>
      <c r="P6" s="64" t="s">
        <v>1317</v>
      </c>
      <c r="Q6" s="66" t="s">
        <v>592</v>
      </c>
    </row>
    <row r="7" spans="2:18" ht="15" thickBot="1">
      <c r="B7" s="64" t="s">
        <v>571</v>
      </c>
      <c r="C7" s="64" t="s">
        <v>334</v>
      </c>
      <c r="D7" s="64" t="s">
        <v>1281</v>
      </c>
      <c r="E7" s="64" t="s">
        <v>1298</v>
      </c>
      <c r="F7" s="64" t="s">
        <v>335</v>
      </c>
      <c r="G7" s="64" t="s">
        <v>590</v>
      </c>
      <c r="H7" s="64"/>
      <c r="I7" s="64" t="s">
        <v>1282</v>
      </c>
      <c r="J7" s="64" t="s">
        <v>1233</v>
      </c>
      <c r="K7" s="72" t="s">
        <v>1311</v>
      </c>
      <c r="L7" s="72" t="s">
        <v>1310</v>
      </c>
      <c r="M7" s="64"/>
      <c r="N7" s="64" t="s">
        <v>1283</v>
      </c>
      <c r="O7" s="64"/>
      <c r="P7" s="64" t="s">
        <v>1284</v>
      </c>
      <c r="Q7" s="66" t="s">
        <v>593</v>
      </c>
    </row>
    <row r="8" spans="2:18" ht="15.5" hidden="1">
      <c r="B8" s="63" t="s">
        <v>594</v>
      </c>
      <c r="C8" s="63" t="s">
        <v>582</v>
      </c>
      <c r="D8" s="63"/>
      <c r="E8" s="63"/>
      <c r="F8" s="63" t="s">
        <v>311</v>
      </c>
      <c r="G8" s="63" t="s">
        <v>573</v>
      </c>
      <c r="H8" s="63"/>
      <c r="I8" s="63"/>
      <c r="J8" s="63"/>
      <c r="K8" s="63"/>
      <c r="L8" s="63"/>
      <c r="M8" s="63"/>
      <c r="N8" s="63"/>
      <c r="O8" s="63"/>
      <c r="P8" s="101"/>
      <c r="Q8" s="63"/>
    </row>
    <row r="9" spans="2:18" ht="31" hidden="1">
      <c r="B9" s="20" t="s">
        <v>594</v>
      </c>
      <c r="C9" s="20" t="s">
        <v>572</v>
      </c>
      <c r="D9" s="20"/>
      <c r="E9" s="20"/>
      <c r="F9" s="20" t="s">
        <v>290</v>
      </c>
      <c r="G9" s="20" t="s">
        <v>590</v>
      </c>
      <c r="H9" s="20"/>
      <c r="I9" s="20"/>
      <c r="J9" s="20"/>
      <c r="K9" s="20"/>
      <c r="L9" s="20"/>
      <c r="M9" s="20"/>
      <c r="N9" s="20"/>
      <c r="O9" s="20"/>
      <c r="P9" s="102" t="s">
        <v>1290</v>
      </c>
      <c r="Q9" s="20"/>
    </row>
    <row r="10" spans="2:18" ht="16" thickBot="1">
      <c r="B10" s="64" t="s">
        <v>594</v>
      </c>
      <c r="C10" s="64" t="s">
        <v>595</v>
      </c>
      <c r="D10" s="64" t="s">
        <v>596</v>
      </c>
      <c r="E10" s="64" t="s">
        <v>1156</v>
      </c>
      <c r="F10" s="64" t="s">
        <v>330</v>
      </c>
      <c r="G10" s="64" t="s">
        <v>590</v>
      </c>
      <c r="H10" s="64"/>
      <c r="I10" s="74" t="s">
        <v>1162</v>
      </c>
      <c r="J10" s="97"/>
      <c r="K10" s="72" t="s">
        <v>596</v>
      </c>
      <c r="L10" s="98" t="s">
        <v>1159</v>
      </c>
      <c r="M10" s="64"/>
      <c r="N10" s="104" t="s">
        <v>1160</v>
      </c>
      <c r="O10" s="104"/>
      <c r="P10" s="105" t="s">
        <v>1293</v>
      </c>
      <c r="Q10" s="70" t="s">
        <v>596</v>
      </c>
    </row>
    <row r="11" spans="2:18" ht="15.5" hidden="1">
      <c r="B11" s="63" t="s">
        <v>594</v>
      </c>
      <c r="C11" s="63" t="s">
        <v>597</v>
      </c>
      <c r="D11" s="63"/>
      <c r="E11" s="63"/>
      <c r="F11" s="63" t="s">
        <v>598</v>
      </c>
      <c r="G11" s="63" t="s">
        <v>590</v>
      </c>
      <c r="H11" s="63"/>
      <c r="I11" s="63"/>
      <c r="J11" s="63"/>
      <c r="K11" s="63"/>
      <c r="L11" s="63"/>
      <c r="M11" s="63"/>
      <c r="N11" s="106"/>
      <c r="O11" s="106"/>
      <c r="P11" s="105" t="s">
        <v>1293</v>
      </c>
      <c r="Q11" s="63"/>
    </row>
    <row r="12" spans="2:18" ht="15.5" hidden="1">
      <c r="B12" s="67" t="s">
        <v>594</v>
      </c>
      <c r="C12" s="67" t="s">
        <v>348</v>
      </c>
      <c r="D12" s="67"/>
      <c r="E12" s="67"/>
      <c r="F12" s="67" t="s">
        <v>349</v>
      </c>
      <c r="G12" s="67" t="s">
        <v>599</v>
      </c>
      <c r="H12" s="67"/>
      <c r="I12" s="67"/>
      <c r="J12" s="67"/>
      <c r="K12" s="67"/>
      <c r="L12" s="67"/>
      <c r="M12" s="67"/>
      <c r="N12" s="107"/>
      <c r="O12" s="107"/>
      <c r="P12" s="105" t="s">
        <v>1303</v>
      </c>
      <c r="Q12" s="68" t="s">
        <v>600</v>
      </c>
    </row>
    <row r="13" spans="2:18" ht="15" hidden="1" thickBot="1">
      <c r="B13" s="69" t="s">
        <v>594</v>
      </c>
      <c r="C13" s="69" t="s">
        <v>1285</v>
      </c>
      <c r="D13" s="69" t="s">
        <v>1286</v>
      </c>
      <c r="E13" s="69" t="s">
        <v>1298</v>
      </c>
      <c r="F13" s="69" t="s">
        <v>335</v>
      </c>
      <c r="G13" s="69" t="s">
        <v>599</v>
      </c>
      <c r="H13" s="69"/>
      <c r="I13" s="69" t="s">
        <v>1287</v>
      </c>
      <c r="J13" s="69" t="s">
        <v>327</v>
      </c>
      <c r="K13" s="69"/>
      <c r="L13" s="69"/>
      <c r="M13" s="69"/>
      <c r="N13" s="104" t="s">
        <v>1299</v>
      </c>
      <c r="O13" s="104"/>
      <c r="P13" s="104"/>
      <c r="Q13" s="69" t="s">
        <v>145</v>
      </c>
      <c r="R13" s="65"/>
    </row>
    <row r="14" spans="2:18" ht="15.5">
      <c r="B14" s="63" t="s">
        <v>601</v>
      </c>
      <c r="C14" s="49" t="s">
        <v>602</v>
      </c>
      <c r="D14" s="63" t="s">
        <v>603</v>
      </c>
      <c r="E14" s="63"/>
      <c r="F14" s="63" t="s">
        <v>290</v>
      </c>
      <c r="G14" s="63" t="s">
        <v>573</v>
      </c>
      <c r="H14" s="63"/>
      <c r="I14" s="74" t="s">
        <v>604</v>
      </c>
      <c r="J14" s="74" t="s">
        <v>605</v>
      </c>
      <c r="K14" s="72" t="s">
        <v>603</v>
      </c>
      <c r="L14" s="63"/>
      <c r="M14" s="63"/>
      <c r="N14" s="106"/>
      <c r="O14" s="106"/>
      <c r="P14" s="105"/>
      <c r="Q14" s="66" t="s">
        <v>606</v>
      </c>
    </row>
    <row r="15" spans="2:18">
      <c r="B15" s="20" t="s">
        <v>601</v>
      </c>
      <c r="C15" s="20" t="s">
        <v>607</v>
      </c>
      <c r="D15" s="20"/>
      <c r="E15" s="20"/>
      <c r="F15" s="20" t="s">
        <v>311</v>
      </c>
      <c r="G15" s="20" t="s">
        <v>573</v>
      </c>
      <c r="H15" s="20"/>
      <c r="I15" s="74" t="s">
        <v>608</v>
      </c>
      <c r="J15" s="74" t="s">
        <v>609</v>
      </c>
      <c r="K15" s="100" t="s">
        <v>1181</v>
      </c>
      <c r="L15" s="97" t="s">
        <v>1184</v>
      </c>
      <c r="M15" s="20"/>
      <c r="N15" s="20" t="s">
        <v>1185</v>
      </c>
      <c r="O15" s="20"/>
      <c r="P15" s="20" t="s">
        <v>1185</v>
      </c>
      <c r="Q15" s="66" t="s">
        <v>610</v>
      </c>
    </row>
    <row r="16" spans="2:18">
      <c r="B16" s="20" t="s">
        <v>601</v>
      </c>
      <c r="C16" s="20" t="s">
        <v>611</v>
      </c>
      <c r="D16" s="20" t="s">
        <v>1163</v>
      </c>
      <c r="E16" s="20" t="s">
        <v>1156</v>
      </c>
      <c r="F16" s="20" t="s">
        <v>330</v>
      </c>
      <c r="G16" s="20" t="s">
        <v>573</v>
      </c>
      <c r="H16" s="20"/>
      <c r="I16" s="74" t="s">
        <v>1164</v>
      </c>
      <c r="J16" s="97" t="s">
        <v>1150</v>
      </c>
      <c r="K16" s="72" t="s">
        <v>612</v>
      </c>
      <c r="L16" s="97" t="s">
        <v>1165</v>
      </c>
      <c r="M16" s="20"/>
      <c r="N16" s="20" t="s">
        <v>1160</v>
      </c>
      <c r="O16" s="20"/>
      <c r="P16" s="20" t="s">
        <v>613</v>
      </c>
      <c r="Q16" s="66" t="s">
        <v>613</v>
      </c>
    </row>
    <row r="17" spans="2:17">
      <c r="B17" s="20" t="s">
        <v>601</v>
      </c>
      <c r="C17" s="20" t="s">
        <v>614</v>
      </c>
      <c r="D17" s="20" t="s">
        <v>1166</v>
      </c>
      <c r="E17" s="20" t="s">
        <v>1156</v>
      </c>
      <c r="F17" s="20" t="s">
        <v>330</v>
      </c>
      <c r="G17" s="20" t="s">
        <v>573</v>
      </c>
      <c r="H17" s="20"/>
      <c r="I17" s="74" t="s">
        <v>1169</v>
      </c>
      <c r="J17" s="97"/>
      <c r="K17" s="72" t="s">
        <v>615</v>
      </c>
      <c r="L17" s="97" t="s">
        <v>1168</v>
      </c>
      <c r="M17" s="20"/>
      <c r="N17" s="20" t="s">
        <v>1160</v>
      </c>
      <c r="O17" s="20"/>
      <c r="P17" s="20" t="s">
        <v>616</v>
      </c>
      <c r="Q17" s="66" t="s">
        <v>616</v>
      </c>
    </row>
    <row r="18" spans="2:17" ht="15" thickBot="1">
      <c r="B18" s="20" t="s">
        <v>601</v>
      </c>
      <c r="C18" s="20" t="s">
        <v>617</v>
      </c>
      <c r="D18" s="20" t="s">
        <v>617</v>
      </c>
      <c r="E18" s="20" t="s">
        <v>1278</v>
      </c>
      <c r="F18" s="20" t="s">
        <v>181</v>
      </c>
      <c r="G18" s="20" t="s">
        <v>573</v>
      </c>
      <c r="H18" s="20"/>
      <c r="I18" s="84" t="s">
        <v>622</v>
      </c>
      <c r="J18" s="75"/>
      <c r="K18" s="75"/>
      <c r="L18" s="75"/>
      <c r="M18" s="20"/>
      <c r="N18" s="75"/>
      <c r="O18" s="75"/>
      <c r="P18" s="75"/>
      <c r="Q18" s="66" t="s">
        <v>618</v>
      </c>
    </row>
    <row r="19" spans="2:17">
      <c r="B19" s="20" t="s">
        <v>601</v>
      </c>
      <c r="C19" s="20" t="s">
        <v>619</v>
      </c>
      <c r="D19" s="20" t="s">
        <v>485</v>
      </c>
      <c r="E19" s="20"/>
      <c r="F19" s="20" t="s">
        <v>181</v>
      </c>
      <c r="G19" s="20" t="s">
        <v>573</v>
      </c>
      <c r="H19" s="20"/>
      <c r="I19" s="74" t="s">
        <v>620</v>
      </c>
      <c r="J19" s="100" t="s">
        <v>1279</v>
      </c>
      <c r="K19" s="72" t="s">
        <v>621</v>
      </c>
      <c r="L19" s="97" t="s">
        <v>1194</v>
      </c>
      <c r="M19" s="20"/>
      <c r="N19" s="20" t="s">
        <v>1195</v>
      </c>
      <c r="O19" s="20"/>
      <c r="P19" s="20" t="s">
        <v>1195</v>
      </c>
      <c r="Q19" s="66" t="s">
        <v>621</v>
      </c>
    </row>
    <row r="20" spans="2:17" ht="15" thickBot="1">
      <c r="B20" s="64" t="s">
        <v>601</v>
      </c>
      <c r="C20" s="64" t="s">
        <v>1288</v>
      </c>
      <c r="D20" s="64" t="s">
        <v>1289</v>
      </c>
      <c r="E20" s="64" t="s">
        <v>1298</v>
      </c>
      <c r="F20" s="64" t="s">
        <v>335</v>
      </c>
      <c r="G20" s="64" t="s">
        <v>573</v>
      </c>
      <c r="H20" s="64"/>
      <c r="I20" s="64" t="s">
        <v>622</v>
      </c>
      <c r="J20" s="64" t="s">
        <v>1275</v>
      </c>
      <c r="K20" s="64"/>
      <c r="L20" s="64"/>
      <c r="M20" s="64"/>
      <c r="N20" s="64" t="s">
        <v>1283</v>
      </c>
      <c r="O20" s="64"/>
      <c r="P20" s="64" t="s">
        <v>1307</v>
      </c>
      <c r="Q20" s="66" t="s">
        <v>623</v>
      </c>
    </row>
    <row r="21" spans="2:17" ht="15" thickBot="1">
      <c r="B21" s="76" t="s">
        <v>624</v>
      </c>
      <c r="C21" s="76" t="s">
        <v>289</v>
      </c>
      <c r="D21" s="76"/>
      <c r="E21" s="76"/>
      <c r="F21" s="76" t="s">
        <v>290</v>
      </c>
      <c r="G21" s="76" t="s">
        <v>573</v>
      </c>
      <c r="H21" s="76"/>
      <c r="I21" s="77" t="s">
        <v>625</v>
      </c>
      <c r="J21" s="76"/>
      <c r="K21" s="78" t="s">
        <v>626</v>
      </c>
      <c r="L21" s="76"/>
      <c r="M21" s="76"/>
      <c r="N21" s="76"/>
      <c r="O21" s="76"/>
      <c r="P21" s="76"/>
      <c r="Q21" s="71" t="s">
        <v>627</v>
      </c>
    </row>
    <row r="22" spans="2:17" hidden="1">
      <c r="B22" s="63" t="s">
        <v>624</v>
      </c>
      <c r="C22" s="63" t="s">
        <v>628</v>
      </c>
      <c r="D22" s="63" t="s">
        <v>1163</v>
      </c>
      <c r="E22" s="20" t="s">
        <v>1156</v>
      </c>
      <c r="F22" s="20" t="s">
        <v>330</v>
      </c>
      <c r="G22" s="63" t="s">
        <v>573</v>
      </c>
      <c r="H22" s="63"/>
      <c r="I22" s="74" t="s">
        <v>1164</v>
      </c>
      <c r="J22" s="97" t="s">
        <v>1150</v>
      </c>
      <c r="K22" s="72" t="s">
        <v>1190</v>
      </c>
      <c r="L22" s="97" t="s">
        <v>1165</v>
      </c>
      <c r="M22" s="20"/>
      <c r="N22" s="20" t="s">
        <v>1160</v>
      </c>
      <c r="O22" s="63"/>
      <c r="P22" s="20" t="s">
        <v>613</v>
      </c>
      <c r="Q22" s="66" t="s">
        <v>613</v>
      </c>
    </row>
    <row r="23" spans="2:17" hidden="1">
      <c r="B23" s="20" t="s">
        <v>624</v>
      </c>
      <c r="C23" s="20" t="s">
        <v>629</v>
      </c>
      <c r="D23" s="20" t="s">
        <v>1166</v>
      </c>
      <c r="E23" s="20" t="s">
        <v>1156</v>
      </c>
      <c r="F23" s="20" t="s">
        <v>330</v>
      </c>
      <c r="G23" s="20" t="s">
        <v>573</v>
      </c>
      <c r="H23" s="20"/>
      <c r="I23" s="74" t="s">
        <v>1169</v>
      </c>
      <c r="J23" s="97" t="s">
        <v>1167</v>
      </c>
      <c r="K23" s="72" t="s">
        <v>1191</v>
      </c>
      <c r="L23" s="97" t="s">
        <v>1168</v>
      </c>
      <c r="M23" s="20"/>
      <c r="N23" s="20" t="s">
        <v>1160</v>
      </c>
      <c r="O23" s="20"/>
      <c r="P23" s="20" t="s">
        <v>616</v>
      </c>
      <c r="Q23" s="66" t="s">
        <v>616</v>
      </c>
    </row>
    <row r="24" spans="2:17" ht="15" hidden="1" thickBot="1">
      <c r="B24" s="64" t="s">
        <v>624</v>
      </c>
      <c r="C24" s="64" t="s">
        <v>630</v>
      </c>
      <c r="D24" s="64" t="s">
        <v>630</v>
      </c>
      <c r="E24" s="64" t="s">
        <v>1300</v>
      </c>
      <c r="F24" s="64" t="s">
        <v>335</v>
      </c>
      <c r="G24" s="64" t="s">
        <v>573</v>
      </c>
      <c r="H24" s="64"/>
      <c r="I24" s="64" t="s">
        <v>1291</v>
      </c>
      <c r="J24" s="64" t="s">
        <v>1261</v>
      </c>
      <c r="K24" s="72" t="s">
        <v>1313</v>
      </c>
      <c r="L24" s="72" t="s">
        <v>1312</v>
      </c>
      <c r="M24" s="64"/>
      <c r="N24" s="64" t="s">
        <v>1292</v>
      </c>
      <c r="O24" s="64"/>
      <c r="P24" s="64" t="s">
        <v>1293</v>
      </c>
      <c r="Q24" s="70" t="s">
        <v>630</v>
      </c>
    </row>
    <row r="25" spans="2:17">
      <c r="B25" s="63" t="s">
        <v>624</v>
      </c>
      <c r="C25" s="63" t="s">
        <v>619</v>
      </c>
      <c r="D25" s="63" t="s">
        <v>485</v>
      </c>
      <c r="E25" s="20" t="s">
        <v>1156</v>
      </c>
      <c r="F25" s="63" t="s">
        <v>181</v>
      </c>
      <c r="G25" s="63" t="s">
        <v>573</v>
      </c>
      <c r="H25" s="63"/>
      <c r="I25" s="74" t="s">
        <v>620</v>
      </c>
      <c r="J25" s="75"/>
      <c r="K25" s="72" t="s">
        <v>621</v>
      </c>
      <c r="L25" s="97" t="s">
        <v>1194</v>
      </c>
      <c r="M25" s="20"/>
      <c r="N25" s="20" t="s">
        <v>1195</v>
      </c>
      <c r="O25" s="20"/>
      <c r="P25" s="20" t="s">
        <v>1195</v>
      </c>
      <c r="Q25" s="63"/>
    </row>
    <row r="26" spans="2:17" ht="15" thickBot="1">
      <c r="B26" s="64" t="s">
        <v>624</v>
      </c>
      <c r="C26" s="64" t="s">
        <v>631</v>
      </c>
      <c r="D26" s="64"/>
      <c r="E26" s="64"/>
      <c r="F26" s="64" t="s">
        <v>311</v>
      </c>
      <c r="G26" s="64" t="s">
        <v>573</v>
      </c>
      <c r="H26" s="64"/>
      <c r="I26" s="64"/>
      <c r="J26" s="64"/>
      <c r="K26" s="64"/>
      <c r="L26" s="64"/>
      <c r="M26" s="64"/>
      <c r="N26" s="64"/>
      <c r="O26" s="64"/>
      <c r="P26" s="64"/>
      <c r="Q26" s="66" t="s">
        <v>632</v>
      </c>
    </row>
    <row r="27" spans="2:17" hidden="1">
      <c r="B27" s="63" t="s">
        <v>633</v>
      </c>
      <c r="C27" s="63" t="s">
        <v>634</v>
      </c>
      <c r="D27" s="63" t="s">
        <v>634</v>
      </c>
      <c r="E27" s="63" t="s">
        <v>1300</v>
      </c>
      <c r="F27" s="63" t="s">
        <v>335</v>
      </c>
      <c r="G27" s="63" t="s">
        <v>635</v>
      </c>
      <c r="H27" s="63"/>
      <c r="I27" s="63" t="s">
        <v>1291</v>
      </c>
      <c r="J27" s="63" t="s">
        <v>1261</v>
      </c>
      <c r="K27" s="72" t="s">
        <v>1313</v>
      </c>
      <c r="L27" s="72" t="s">
        <v>1312</v>
      </c>
      <c r="M27" s="63"/>
      <c r="N27" s="63" t="s">
        <v>1292</v>
      </c>
      <c r="O27" s="63"/>
      <c r="P27" s="63" t="s">
        <v>1308</v>
      </c>
      <c r="Q27" s="63"/>
    </row>
    <row r="28" spans="2:17" ht="15" thickBot="1">
      <c r="B28" s="64" t="s">
        <v>633</v>
      </c>
      <c r="C28" s="64" t="s">
        <v>636</v>
      </c>
      <c r="D28" s="64"/>
      <c r="E28" s="64"/>
      <c r="F28" s="64" t="s">
        <v>290</v>
      </c>
      <c r="G28" s="64" t="s">
        <v>635</v>
      </c>
      <c r="H28" s="64"/>
      <c r="I28" s="79" t="s">
        <v>637</v>
      </c>
      <c r="J28" s="64"/>
      <c r="K28" s="80" t="s">
        <v>638</v>
      </c>
      <c r="L28" s="64"/>
      <c r="M28" s="64"/>
      <c r="N28" s="64"/>
      <c r="O28" s="64"/>
      <c r="P28" s="64"/>
      <c r="Q28" s="70" t="s">
        <v>639</v>
      </c>
    </row>
    <row r="29" spans="2:17" ht="15" hidden="1" thickBot="1">
      <c r="B29" s="76" t="s">
        <v>633</v>
      </c>
      <c r="C29" s="76" t="s">
        <v>640</v>
      </c>
      <c r="D29" s="76"/>
      <c r="E29" s="76"/>
      <c r="F29" s="76" t="s">
        <v>181</v>
      </c>
      <c r="G29" s="76" t="s">
        <v>573</v>
      </c>
      <c r="H29" s="76"/>
      <c r="I29" s="84" t="s">
        <v>622</v>
      </c>
      <c r="J29" s="76"/>
      <c r="K29" s="76"/>
      <c r="L29" s="76"/>
      <c r="M29" s="76"/>
      <c r="N29" s="76"/>
      <c r="O29" s="76"/>
      <c r="P29" s="76"/>
      <c r="Q29" s="71" t="s">
        <v>641</v>
      </c>
    </row>
    <row r="30" spans="2:17" ht="15" hidden="1" thickBot="1">
      <c r="B30" s="63" t="s">
        <v>633</v>
      </c>
      <c r="C30" s="63" t="s">
        <v>642</v>
      </c>
      <c r="D30" s="64" t="s">
        <v>596</v>
      </c>
      <c r="E30" s="64" t="s">
        <v>1156</v>
      </c>
      <c r="F30" s="64" t="s">
        <v>330</v>
      </c>
      <c r="G30" s="63" t="s">
        <v>573</v>
      </c>
      <c r="H30" s="63"/>
      <c r="I30" s="74" t="s">
        <v>1162</v>
      </c>
      <c r="J30" s="97" t="s">
        <v>1161</v>
      </c>
      <c r="K30" s="72" t="s">
        <v>596</v>
      </c>
      <c r="L30" s="98" t="s">
        <v>1159</v>
      </c>
      <c r="M30" s="64"/>
      <c r="N30" s="64" t="s">
        <v>1160</v>
      </c>
      <c r="O30" s="63"/>
      <c r="P30" s="64" t="s">
        <v>596</v>
      </c>
      <c r="Q30" s="98" t="s">
        <v>596</v>
      </c>
    </row>
    <row r="31" spans="2:17" ht="15" hidden="1" thickBot="1">
      <c r="B31" s="69" t="s">
        <v>633</v>
      </c>
      <c r="C31" s="69" t="s">
        <v>643</v>
      </c>
      <c r="D31" s="69"/>
      <c r="E31" s="69"/>
      <c r="F31" s="69" t="s">
        <v>311</v>
      </c>
      <c r="G31" s="69" t="s">
        <v>573</v>
      </c>
      <c r="H31" s="69"/>
      <c r="I31" s="69"/>
      <c r="J31" s="69"/>
      <c r="K31" s="69"/>
      <c r="L31" s="69"/>
      <c r="M31" s="69"/>
      <c r="N31" s="69"/>
      <c r="O31" s="69"/>
      <c r="P31" s="69"/>
      <c r="Q31" s="69"/>
    </row>
    <row r="32" spans="2:17">
      <c r="B32" s="63" t="s">
        <v>644</v>
      </c>
      <c r="C32" s="63" t="s">
        <v>384</v>
      </c>
      <c r="D32" s="63" t="s">
        <v>645</v>
      </c>
      <c r="E32" s="63"/>
      <c r="F32" s="63" t="s">
        <v>290</v>
      </c>
      <c r="G32" s="63" t="s">
        <v>573</v>
      </c>
      <c r="H32" s="63"/>
      <c r="I32" s="74" t="s">
        <v>646</v>
      </c>
      <c r="J32" s="81" t="s">
        <v>647</v>
      </c>
      <c r="K32" s="72" t="s">
        <v>648</v>
      </c>
      <c r="L32" s="63"/>
      <c r="M32" s="63"/>
      <c r="N32" s="63"/>
      <c r="O32" s="63"/>
      <c r="P32" s="63"/>
      <c r="Q32" s="66" t="s">
        <v>649</v>
      </c>
    </row>
    <row r="33" spans="2:17">
      <c r="B33" s="20" t="s">
        <v>644</v>
      </c>
      <c r="C33" s="20" t="s">
        <v>650</v>
      </c>
      <c r="D33" s="20" t="s">
        <v>1170</v>
      </c>
      <c r="E33" s="20" t="s">
        <v>1156</v>
      </c>
      <c r="F33" s="20" t="s">
        <v>330</v>
      </c>
      <c r="G33" s="20" t="s">
        <v>590</v>
      </c>
      <c r="H33" s="20"/>
      <c r="I33" s="74" t="s">
        <v>1172</v>
      </c>
      <c r="J33" s="97" t="s">
        <v>1173</v>
      </c>
      <c r="K33" s="72" t="s">
        <v>651</v>
      </c>
      <c r="L33" s="97" t="s">
        <v>1171</v>
      </c>
      <c r="M33" s="20"/>
      <c r="N33" s="20" t="s">
        <v>650</v>
      </c>
      <c r="O33" s="20"/>
      <c r="P33" s="20" t="s">
        <v>1174</v>
      </c>
      <c r="Q33" s="66" t="s">
        <v>650</v>
      </c>
    </row>
    <row r="34" spans="2:17" hidden="1">
      <c r="B34" s="20" t="s">
        <v>644</v>
      </c>
      <c r="C34" s="20" t="s">
        <v>652</v>
      </c>
      <c r="D34" s="20" t="s">
        <v>1294</v>
      </c>
      <c r="E34" s="20" t="s">
        <v>1301</v>
      </c>
      <c r="F34" s="20" t="s">
        <v>335</v>
      </c>
      <c r="G34" s="20" t="s">
        <v>635</v>
      </c>
      <c r="H34" s="20"/>
      <c r="I34" s="20"/>
      <c r="J34" s="20" t="s">
        <v>1306</v>
      </c>
      <c r="K34" s="72" t="s">
        <v>1314</v>
      </c>
      <c r="L34" s="72" t="s">
        <v>1315</v>
      </c>
      <c r="M34" s="20"/>
      <c r="N34" s="20" t="s">
        <v>1302</v>
      </c>
      <c r="O34" s="20"/>
      <c r="P34" s="20" t="s">
        <v>1309</v>
      </c>
      <c r="Q34" s="26"/>
    </row>
    <row r="35" spans="2:17" ht="15" thickBot="1">
      <c r="B35" s="64" t="s">
        <v>644</v>
      </c>
      <c r="C35" s="64" t="s">
        <v>501</v>
      </c>
      <c r="D35" s="64" t="s">
        <v>501</v>
      </c>
      <c r="E35" s="20" t="s">
        <v>1156</v>
      </c>
      <c r="F35" s="64" t="s">
        <v>181</v>
      </c>
      <c r="G35" s="64" t="s">
        <v>590</v>
      </c>
      <c r="H35" s="64"/>
      <c r="I35" s="74" t="s">
        <v>653</v>
      </c>
      <c r="J35" s="98" t="s">
        <v>1196</v>
      </c>
      <c r="K35" s="72" t="s">
        <v>654</v>
      </c>
      <c r="L35" s="98" t="s">
        <v>1197</v>
      </c>
      <c r="M35" s="64"/>
      <c r="N35" s="63" t="s">
        <v>501</v>
      </c>
      <c r="O35" s="63"/>
      <c r="P35" s="63" t="s">
        <v>501</v>
      </c>
      <c r="Q35" s="66" t="s">
        <v>501</v>
      </c>
    </row>
    <row r="36" spans="2:17">
      <c r="B36" s="63" t="s">
        <v>655</v>
      </c>
      <c r="C36" s="63" t="s">
        <v>656</v>
      </c>
      <c r="D36" s="63"/>
      <c r="E36" s="63"/>
      <c r="F36" s="63" t="s">
        <v>290</v>
      </c>
      <c r="G36" s="63" t="s">
        <v>573</v>
      </c>
      <c r="H36" s="63"/>
      <c r="I36" s="74" t="s">
        <v>657</v>
      </c>
      <c r="J36" s="81" t="s">
        <v>658</v>
      </c>
      <c r="K36" s="72" t="s">
        <v>659</v>
      </c>
      <c r="L36" s="63"/>
      <c r="M36" s="63"/>
      <c r="N36" s="63"/>
      <c r="P36" s="20"/>
      <c r="Q36" s="66" t="s">
        <v>660</v>
      </c>
    </row>
    <row r="37" spans="2:17">
      <c r="B37" s="20" t="s">
        <v>655</v>
      </c>
      <c r="C37" s="20" t="s">
        <v>514</v>
      </c>
      <c r="D37" s="20" t="s">
        <v>514</v>
      </c>
      <c r="E37" s="20"/>
      <c r="F37" s="20" t="s">
        <v>181</v>
      </c>
      <c r="G37" s="20" t="s">
        <v>573</v>
      </c>
      <c r="H37" s="20"/>
      <c r="I37" s="74" t="s">
        <v>661</v>
      </c>
      <c r="J37" s="100" t="s">
        <v>1200</v>
      </c>
      <c r="K37" s="72" t="s">
        <v>662</v>
      </c>
      <c r="L37" s="97" t="s">
        <v>1199</v>
      </c>
      <c r="M37" s="20"/>
      <c r="N37" t="s">
        <v>1198</v>
      </c>
      <c r="O37" s="20"/>
      <c r="P37" s="20" t="s">
        <v>663</v>
      </c>
      <c r="Q37" s="66" t="s">
        <v>663</v>
      </c>
    </row>
    <row r="38" spans="2:17" hidden="1">
      <c r="B38" s="20" t="s">
        <v>655</v>
      </c>
      <c r="C38" s="20" t="s">
        <v>664</v>
      </c>
      <c r="D38" s="20" t="s">
        <v>664</v>
      </c>
      <c r="E38" s="20" t="s">
        <v>1304</v>
      </c>
      <c r="F38" s="20" t="s">
        <v>335</v>
      </c>
      <c r="G38" s="20" t="s">
        <v>573</v>
      </c>
      <c r="H38" s="20"/>
      <c r="I38" s="20"/>
      <c r="J38" s="20" t="s">
        <v>1295</v>
      </c>
      <c r="K38" s="72" t="s">
        <v>1316</v>
      </c>
      <c r="L38" s="20"/>
      <c r="M38" s="20"/>
      <c r="N38" s="20" t="s">
        <v>1305</v>
      </c>
      <c r="O38" s="20"/>
      <c r="P38" s="20" t="s">
        <v>1296</v>
      </c>
      <c r="Q38" s="66" t="s">
        <v>664</v>
      </c>
    </row>
    <row r="39" spans="2:17" ht="15" thickBot="1">
      <c r="B39" s="64" t="s">
        <v>655</v>
      </c>
      <c r="C39" s="64" t="s">
        <v>665</v>
      </c>
      <c r="D39" s="64"/>
      <c r="E39" s="64"/>
      <c r="F39" s="64" t="s">
        <v>666</v>
      </c>
      <c r="G39" s="64" t="s">
        <v>573</v>
      </c>
      <c r="H39" s="64"/>
      <c r="I39" s="74" t="s">
        <v>667</v>
      </c>
      <c r="J39" s="64"/>
      <c r="K39" s="72" t="s">
        <v>668</v>
      </c>
      <c r="L39" s="64"/>
      <c r="M39" s="64"/>
      <c r="N39" s="64"/>
      <c r="O39" s="64"/>
      <c r="P39" s="64"/>
      <c r="Q39" s="66" t="s">
        <v>669</v>
      </c>
    </row>
    <row r="40" spans="2:17" hidden="1">
      <c r="B40" s="63" t="s">
        <v>670</v>
      </c>
      <c r="C40" s="63" t="s">
        <v>665</v>
      </c>
      <c r="D40" s="63"/>
      <c r="E40" s="63"/>
      <c r="F40" s="63" t="s">
        <v>666</v>
      </c>
      <c r="G40" s="63" t="s">
        <v>573</v>
      </c>
      <c r="H40" s="63"/>
      <c r="I40" s="63"/>
      <c r="J40" s="63"/>
      <c r="K40" s="63"/>
      <c r="L40" s="63"/>
      <c r="M40" s="63"/>
      <c r="N40" s="63"/>
      <c r="O40" s="63"/>
      <c r="P40" s="63"/>
      <c r="Q40" s="63"/>
    </row>
    <row r="41" spans="2:17">
      <c r="B41" s="20" t="s">
        <v>670</v>
      </c>
      <c r="C41" s="20" t="s">
        <v>671</v>
      </c>
      <c r="D41" s="20" t="s">
        <v>671</v>
      </c>
      <c r="E41" s="20"/>
      <c r="F41" s="20" t="s">
        <v>555</v>
      </c>
      <c r="G41" s="20" t="s">
        <v>573</v>
      </c>
      <c r="H41" s="20"/>
      <c r="I41" s="74" t="s">
        <v>672</v>
      </c>
      <c r="J41" s="20"/>
      <c r="K41" s="72" t="s">
        <v>673</v>
      </c>
      <c r="L41" s="20"/>
      <c r="M41" s="20"/>
      <c r="N41" s="20"/>
      <c r="O41" s="20"/>
      <c r="P41" s="20"/>
      <c r="Q41" s="66" t="s">
        <v>674</v>
      </c>
    </row>
    <row r="42" spans="2:17" ht="15" thickBot="1">
      <c r="B42" s="64" t="s">
        <v>670</v>
      </c>
      <c r="C42" s="64" t="s">
        <v>527</v>
      </c>
      <c r="D42" s="64" t="s">
        <v>527</v>
      </c>
      <c r="E42" s="20" t="s">
        <v>1156</v>
      </c>
      <c r="F42" s="64" t="s">
        <v>181</v>
      </c>
      <c r="G42" s="64" t="s">
        <v>635</v>
      </c>
      <c r="H42" s="64"/>
      <c r="I42" s="77" t="s">
        <v>675</v>
      </c>
      <c r="J42" s="103" t="s">
        <v>1276</v>
      </c>
      <c r="K42" s="78" t="s">
        <v>676</v>
      </c>
      <c r="L42" s="98" t="s">
        <v>1277</v>
      </c>
      <c r="M42" s="64"/>
      <c r="N42" s="64" t="s">
        <v>527</v>
      </c>
      <c r="O42" s="64"/>
      <c r="P42" s="64" t="s">
        <v>527</v>
      </c>
      <c r="Q42" s="71" t="s">
        <v>677</v>
      </c>
    </row>
    <row r="43" spans="2:17" ht="15" hidden="1" thickBot="1">
      <c r="B43" s="76" t="s">
        <v>670</v>
      </c>
      <c r="C43" s="76" t="s">
        <v>678</v>
      </c>
      <c r="D43" s="76"/>
      <c r="E43" s="76"/>
      <c r="F43" s="76" t="s">
        <v>181</v>
      </c>
      <c r="G43" s="76" t="s">
        <v>573</v>
      </c>
      <c r="H43" s="76"/>
      <c r="I43" s="76"/>
      <c r="J43" s="76"/>
      <c r="K43" s="76"/>
      <c r="L43" s="76"/>
      <c r="M43" s="76"/>
      <c r="N43" s="76"/>
      <c r="O43" s="76"/>
      <c r="P43" s="76"/>
    </row>
    <row r="44" spans="2:17">
      <c r="B44" s="63" t="s">
        <v>679</v>
      </c>
      <c r="C44" s="63" t="s">
        <v>680</v>
      </c>
      <c r="D44" s="63"/>
      <c r="E44" s="63"/>
      <c r="F44" s="63" t="s">
        <v>666</v>
      </c>
      <c r="G44" s="63" t="s">
        <v>573</v>
      </c>
      <c r="H44" s="63"/>
      <c r="I44" s="74" t="s">
        <v>681</v>
      </c>
      <c r="J44" s="63"/>
      <c r="K44" s="72" t="s">
        <v>682</v>
      </c>
      <c r="L44" s="63"/>
      <c r="M44" s="63"/>
      <c r="N44" s="63"/>
      <c r="O44" s="63"/>
      <c r="P44" s="63"/>
      <c r="Q44" s="66" t="s">
        <v>683</v>
      </c>
    </row>
    <row r="45" spans="2:17">
      <c r="B45" s="20" t="s">
        <v>679</v>
      </c>
      <c r="C45" s="20" t="s">
        <v>553</v>
      </c>
      <c r="D45" s="20" t="s">
        <v>553</v>
      </c>
      <c r="E45" s="20"/>
      <c r="F45" s="20" t="s">
        <v>555</v>
      </c>
      <c r="G45" s="20" t="s">
        <v>590</v>
      </c>
      <c r="H45" s="20"/>
      <c r="I45" s="74" t="s">
        <v>684</v>
      </c>
      <c r="J45" s="97"/>
      <c r="K45" s="72" t="s">
        <v>685</v>
      </c>
      <c r="L45" s="20"/>
      <c r="M45" s="20"/>
      <c r="N45" s="20"/>
      <c r="O45" s="20"/>
      <c r="P45" s="20"/>
      <c r="Q45" s="66" t="s">
        <v>686</v>
      </c>
    </row>
    <row r="46" spans="2:17">
      <c r="B46" s="20" t="s">
        <v>679</v>
      </c>
      <c r="C46" s="20" t="s">
        <v>687</v>
      </c>
      <c r="D46" s="20" t="s">
        <v>687</v>
      </c>
      <c r="E46" s="20" t="s">
        <v>1156</v>
      </c>
      <c r="F46" s="20" t="s">
        <v>330</v>
      </c>
      <c r="G46" s="20" t="s">
        <v>635</v>
      </c>
      <c r="H46" s="20"/>
      <c r="I46" s="74" t="s">
        <v>688</v>
      </c>
      <c r="J46" s="97"/>
      <c r="K46" s="72" t="s">
        <v>689</v>
      </c>
      <c r="L46" s="97" t="s">
        <v>1176</v>
      </c>
      <c r="M46" s="20"/>
      <c r="N46" s="20" t="s">
        <v>1178</v>
      </c>
      <c r="O46" s="20"/>
      <c r="P46" s="20" t="s">
        <v>690</v>
      </c>
      <c r="Q46" s="66" t="s">
        <v>690</v>
      </c>
    </row>
    <row r="47" spans="2:17">
      <c r="B47" s="20" t="s">
        <v>679</v>
      </c>
      <c r="C47" s="20" t="s">
        <v>691</v>
      </c>
      <c r="D47" s="20" t="s">
        <v>1180</v>
      </c>
      <c r="E47" s="20" t="s">
        <v>1156</v>
      </c>
      <c r="F47" s="20" t="s">
        <v>330</v>
      </c>
      <c r="G47" s="20" t="s">
        <v>635</v>
      </c>
      <c r="H47" s="20"/>
      <c r="I47" s="74" t="s">
        <v>692</v>
      </c>
      <c r="J47" s="97"/>
      <c r="K47" s="72" t="s">
        <v>693</v>
      </c>
      <c r="L47" s="97" t="s">
        <v>1182</v>
      </c>
      <c r="M47" s="20"/>
      <c r="N47" s="20" t="s">
        <v>1180</v>
      </c>
      <c r="O47" s="20"/>
      <c r="P47" s="20" t="s">
        <v>694</v>
      </c>
      <c r="Q47" s="66" t="s">
        <v>694</v>
      </c>
    </row>
    <row r="48" spans="2:17">
      <c r="B48" s="20" t="s">
        <v>679</v>
      </c>
      <c r="C48" s="20" t="s">
        <v>473</v>
      </c>
      <c r="D48" s="20"/>
      <c r="E48" s="20"/>
      <c r="F48" s="20" t="s">
        <v>290</v>
      </c>
      <c r="G48" s="20" t="s">
        <v>635</v>
      </c>
      <c r="H48" s="20"/>
      <c r="I48" s="74" t="s">
        <v>695</v>
      </c>
      <c r="J48" s="20"/>
      <c r="K48" s="72" t="s">
        <v>696</v>
      </c>
      <c r="L48" s="20"/>
      <c r="M48" s="20"/>
      <c r="N48" s="20"/>
      <c r="O48" s="20"/>
      <c r="P48" s="20"/>
      <c r="Q48" s="66" t="s">
        <v>697</v>
      </c>
    </row>
    <row r="49" spans="2:17">
      <c r="B49" s="20" t="s">
        <v>679</v>
      </c>
      <c r="C49" s="20" t="s">
        <v>417</v>
      </c>
      <c r="D49" s="20"/>
      <c r="E49" s="20"/>
      <c r="F49" s="20" t="s">
        <v>290</v>
      </c>
      <c r="G49" s="20" t="s">
        <v>635</v>
      </c>
      <c r="H49" s="20"/>
      <c r="I49" s="74" t="s">
        <v>698</v>
      </c>
      <c r="J49" s="20"/>
      <c r="K49" s="72" t="s">
        <v>699</v>
      </c>
      <c r="L49" s="20"/>
      <c r="M49" s="20"/>
      <c r="N49" s="20"/>
      <c r="O49" s="20"/>
      <c r="P49" s="20"/>
      <c r="Q49" s="66" t="s">
        <v>417</v>
      </c>
    </row>
    <row r="50" spans="2:17">
      <c r="B50" s="49" t="s">
        <v>700</v>
      </c>
      <c r="C50" s="49" t="s">
        <v>701</v>
      </c>
      <c r="F50" s="49" t="s">
        <v>311</v>
      </c>
      <c r="I50" s="72" t="s">
        <v>1152</v>
      </c>
      <c r="J50" s="72" t="s">
        <v>1155</v>
      </c>
      <c r="K50" s="72" t="s">
        <v>702</v>
      </c>
      <c r="L50" s="72" t="s">
        <v>1175</v>
      </c>
      <c r="N50" t="s">
        <v>703</v>
      </c>
      <c r="P50" t="s">
        <v>703</v>
      </c>
      <c r="Q50" s="66" t="s">
        <v>703</v>
      </c>
    </row>
    <row r="51" spans="2:17">
      <c r="B51" s="49" t="s">
        <v>700</v>
      </c>
      <c r="C51" s="49" t="s">
        <v>704</v>
      </c>
      <c r="F51" s="49" t="s">
        <v>311</v>
      </c>
      <c r="I51" s="72" t="s">
        <v>1153</v>
      </c>
      <c r="J51" s="72" t="s">
        <v>1154</v>
      </c>
      <c r="K51" s="72" t="s">
        <v>705</v>
      </c>
      <c r="L51" t="s">
        <v>1179</v>
      </c>
      <c r="N51" t="s">
        <v>1177</v>
      </c>
      <c r="P51" s="99" t="s">
        <v>1177</v>
      </c>
      <c r="Q51" s="66" t="s">
        <v>706</v>
      </c>
    </row>
    <row r="52" spans="2:17">
      <c r="B52" s="49" t="s">
        <v>700</v>
      </c>
      <c r="C52" s="49" t="s">
        <v>707</v>
      </c>
      <c r="F52" s="49" t="s">
        <v>666</v>
      </c>
      <c r="J52" s="72" t="s">
        <v>1192</v>
      </c>
      <c r="K52" s="72" t="s">
        <v>708</v>
      </c>
      <c r="L52" s="72" t="s">
        <v>1193</v>
      </c>
      <c r="Q52" s="66" t="s">
        <v>709</v>
      </c>
    </row>
    <row r="53" spans="2:17">
      <c r="B53" s="49" t="s">
        <v>700</v>
      </c>
      <c r="C53" s="49" t="s">
        <v>710</v>
      </c>
      <c r="F53" s="49" t="s">
        <v>120</v>
      </c>
      <c r="J53" s="72"/>
      <c r="K53" s="72" t="s">
        <v>711</v>
      </c>
      <c r="Q53" s="66" t="s">
        <v>712</v>
      </c>
    </row>
    <row r="54" spans="2:17">
      <c r="B54" s="49" t="s">
        <v>700</v>
      </c>
      <c r="C54" s="49" t="s">
        <v>713</v>
      </c>
      <c r="D54" t="s">
        <v>713</v>
      </c>
      <c r="E54" t="s">
        <v>1156</v>
      </c>
      <c r="F54" s="49" t="s">
        <v>330</v>
      </c>
      <c r="I54" s="73" t="s">
        <v>714</v>
      </c>
      <c r="J54" s="72"/>
      <c r="K54" s="72" t="s">
        <v>715</v>
      </c>
      <c r="L54" s="72" t="s">
        <v>1186</v>
      </c>
      <c r="P54" t="s">
        <v>716</v>
      </c>
      <c r="Q54" s="66" t="s">
        <v>716</v>
      </c>
    </row>
    <row r="55" spans="2:17">
      <c r="B55" s="49" t="s">
        <v>1322</v>
      </c>
      <c r="C55" s="49" t="s">
        <v>717</v>
      </c>
      <c r="D55" t="s">
        <v>1321</v>
      </c>
      <c r="F55" s="49" t="s">
        <v>290</v>
      </c>
      <c r="J55" s="72" t="s">
        <v>1320</v>
      </c>
      <c r="K55" s="72" t="s">
        <v>718</v>
      </c>
      <c r="L55" s="72"/>
      <c r="Q55" s="66" t="s">
        <v>717</v>
      </c>
    </row>
    <row r="56" spans="2:17">
      <c r="B56" s="49" t="s">
        <v>700</v>
      </c>
      <c r="C56" s="49" t="s">
        <v>719</v>
      </c>
      <c r="D56" t="s">
        <v>721</v>
      </c>
      <c r="F56" s="49" t="s">
        <v>555</v>
      </c>
      <c r="I56" s="72" t="s">
        <v>1151</v>
      </c>
      <c r="J56" s="97" t="s">
        <v>1149</v>
      </c>
      <c r="K56" s="72" t="s">
        <v>720</v>
      </c>
      <c r="Q56" s="66" t="s">
        <v>721</v>
      </c>
    </row>
    <row r="57" spans="2:17">
      <c r="B57" s="49" t="s">
        <v>700</v>
      </c>
      <c r="C57" s="49" t="s">
        <v>722</v>
      </c>
      <c r="D57" t="s">
        <v>1183</v>
      </c>
      <c r="E57" t="s">
        <v>1156</v>
      </c>
      <c r="F57" s="49" t="s">
        <v>330</v>
      </c>
      <c r="I57" s="74" t="s">
        <v>723</v>
      </c>
      <c r="J57" s="83" t="s">
        <v>1188</v>
      </c>
      <c r="K57" s="72" t="s">
        <v>724</v>
      </c>
      <c r="L57" s="72" t="s">
        <v>1187</v>
      </c>
      <c r="N57" t="s">
        <v>722</v>
      </c>
      <c r="P57" t="s">
        <v>722</v>
      </c>
      <c r="Q57" s="66" t="s">
        <v>722</v>
      </c>
    </row>
    <row r="58" spans="2:17">
      <c r="B58" s="49" t="s">
        <v>700</v>
      </c>
      <c r="C58" s="49" t="s">
        <v>725</v>
      </c>
      <c r="D58" s="49" t="s">
        <v>725</v>
      </c>
      <c r="E58" s="20" t="s">
        <v>1156</v>
      </c>
      <c r="F58" s="49" t="s">
        <v>181</v>
      </c>
      <c r="I58" s="74" t="s">
        <v>726</v>
      </c>
      <c r="J58" s="72" t="s">
        <v>1201</v>
      </c>
      <c r="K58" s="72" t="s">
        <v>727</v>
      </c>
      <c r="L58" s="72" t="s">
        <v>1202</v>
      </c>
      <c r="N58" t="s">
        <v>725</v>
      </c>
      <c r="P58" t="s">
        <v>725</v>
      </c>
      <c r="Q58" s="66" t="s">
        <v>725</v>
      </c>
    </row>
    <row r="59" spans="2:17">
      <c r="B59" s="49" t="s">
        <v>700</v>
      </c>
      <c r="C59" s="49" t="s">
        <v>728</v>
      </c>
      <c r="D59" s="108" t="s">
        <v>728</v>
      </c>
      <c r="F59" s="49" t="s">
        <v>290</v>
      </c>
      <c r="I59" s="74" t="s">
        <v>729</v>
      </c>
      <c r="K59" s="72" t="s">
        <v>730</v>
      </c>
      <c r="Q59" s="66" t="s">
        <v>731</v>
      </c>
    </row>
    <row r="60" spans="2:17">
      <c r="B60" s="49" t="s">
        <v>1189</v>
      </c>
      <c r="C60" s="49" t="s">
        <v>459</v>
      </c>
      <c r="D60" t="s">
        <v>1318</v>
      </c>
      <c r="F60" s="49" t="s">
        <v>290</v>
      </c>
      <c r="J60" s="72" t="s">
        <v>1319</v>
      </c>
      <c r="K60" s="72" t="s">
        <v>732</v>
      </c>
      <c r="N60" t="s">
        <v>1323</v>
      </c>
      <c r="P60" t="s">
        <v>471</v>
      </c>
      <c r="Q60" s="66" t="s">
        <v>733</v>
      </c>
    </row>
  </sheetData>
  <autoFilter ref="B2:Q60" xr:uid="{2C4207B3-4BD3-490E-BEA6-42F24E992018}"/>
  <phoneticPr fontId="20" type="noConversion"/>
  <hyperlinks>
    <hyperlink ref="Q7" r:id="rId1" display="https://github.com/Wamocon/KI-Manager-LMS" xr:uid="{220F3A68-37E0-4F70-90E5-6EE469419B55}"/>
    <hyperlink ref="Q4" r:id="rId2" display="https://github.com/Wamocon/plan-it" xr:uid="{9A47721A-6645-4F07-9617-3BDB59C65988}"/>
    <hyperlink ref="Q15" r:id="rId3" display="https://github.com/Wamocon/daily_echo" xr:uid="{DF12044D-618F-433B-968F-8114EF335F99}"/>
    <hyperlink ref="Q6" r:id="rId4" display="https://github.com/Wamocon/ustafix.app" xr:uid="{B413FF5C-773D-4ECB-9C2B-ECB55D534B84}"/>
    <hyperlink ref="Q21" r:id="rId5" display="https://github.com/Wamocon/wedbudget" xr:uid="{8F64EC26-0532-47FC-A824-5ABC2406E59D}"/>
    <hyperlink ref="Q17" r:id="rId6" display="https://github.com/Wamocon/trace" xr:uid="{F67C23F0-A2EE-4BDF-A6F7-D9D9300D0A73}"/>
    <hyperlink ref="Q28" r:id="rId7" display="https://github.com/Wamocon/carman" xr:uid="{03D7203F-E0A3-4C75-8291-BF32DBC64F8A}"/>
    <hyperlink ref="Q24" r:id="rId8" display="https://github.com/Wamocon/KLAR" xr:uid="{1C3B00D0-7C94-4DB8-BE34-922AE9D5F4E2}"/>
    <hyperlink ref="Q19" r:id="rId9" display="https://github.com/Wamocon/meine_wohnung" xr:uid="{B996F6CC-02D2-4007-AB3A-6E12961055DB}"/>
    <hyperlink ref="Q10" r:id="rId10" display="https://github.com/Wamocon/TeamRadar" xr:uid="{8ABE17FB-34AB-42E7-AF2B-6F648D4B01AA}"/>
    <hyperlink ref="Q29" r:id="rId11" display="https://github.com/Wamocon/Universal_Inventory_Manager" xr:uid="{51EECB7F-B6D2-47B2-80B7-37AC33F68957}"/>
    <hyperlink ref="Q12" r:id="rId12" display="https://github.com/Wamocon/realityCheck" xr:uid="{E8BCCD2F-4A6F-4F2E-9EB0-6C5BD95DC047}"/>
    <hyperlink ref="Q32" r:id="rId13" display="https://github.com/Wamocon/vertragsmanager" xr:uid="{BE48E5D4-896D-4D41-9E4D-D0F3CD0FE68F}"/>
    <hyperlink ref="Q35" r:id="rId14" display="https://github.com/Wamocon/backofficeassistent" xr:uid="{0242FEB6-EE12-49BF-8C28-637A1206C7BC}"/>
    <hyperlink ref="Q33" r:id="rId15" display="https://github.com/Wamocon/ladeKompass" xr:uid="{91D9DCF8-E5EB-4ADC-9411-3F5E7E81343C}"/>
    <hyperlink ref="Q3" r:id="rId16" display="https://github.com/Wamocon/marketing_powerhouse" xr:uid="{581EC46C-2296-4D46-AED4-A15816264C06}"/>
    <hyperlink ref="Q38" r:id="rId17" display="https://github.com/Wamocon/ARIA" xr:uid="{C063B681-5F07-4FCD-971F-7B018E24A5A2}"/>
    <hyperlink ref="Q37" r:id="rId18" display="https://github.com/Wamocon/ki-prufungstrainer" xr:uid="{2F0E80A5-D627-40DE-B80D-9211AC11FCC2}"/>
    <hyperlink ref="Q39" r:id="rId19" display="https://github.com/Wamocon/localforge" xr:uid="{67FA2B53-5E1F-44F5-893D-C0DF090A592B}"/>
    <hyperlink ref="Q42" r:id="rId20" display="https://github.com/Wamocon/wg-planer" xr:uid="{8E36B1E2-1DAE-4C2D-A541-CAF831C46F85}"/>
    <hyperlink ref="Q16" r:id="rId21" display="https://github.com/Wamocon/away" xr:uid="{FD571BEB-BD05-4767-B198-EE75AEA8CE71}"/>
    <hyperlink ref="Q36" r:id="rId22" display="https://github.com/Wamocon/bedarfspilot" xr:uid="{7FC65D2A-A9EB-4341-A9CC-16A9790338E4}"/>
    <hyperlink ref="Q41" r:id="rId23" display="https://github.com/Wamocon/wartezeit-waechter" xr:uid="{59D25EA4-74B6-4216-AC19-82C5CC578DCA}"/>
    <hyperlink ref="Q5" r:id="rId24" display="https://github.com/Wamocon/urbackup" xr:uid="{C8C15AD3-ED42-4585-8C5D-F276F3A72B8E}"/>
    <hyperlink ref="R5" r:id="rId25" display="https://github.com/Wamocon/backup_planner" xr:uid="{D3276ABA-DCA0-49C8-8493-E8CCCB3B2F73}"/>
    <hyperlink ref="Q14" r:id="rId26" display="https://github.com/Wamocon/skillmapper" xr:uid="{4FAEB499-AE5E-4916-8FAC-89EB20472858}"/>
    <hyperlink ref="Q48" r:id="rId27" display="https://github.com/Wamocon/meinezielcollage" xr:uid="{7BC1899F-028B-48FC-88D5-1DC2656C759F}"/>
    <hyperlink ref="Q49" r:id="rId28" display="https://github.com/Wamocon/Sirin" xr:uid="{9910BD79-17F0-42B5-82AE-B207BE665B44}"/>
    <hyperlink ref="Q44" r:id="rId29" display="https://github.com/Wamocon/vereinsping" xr:uid="{C61E16C6-8199-4DAC-97AD-6AEFB5834A62}"/>
    <hyperlink ref="Q46" r:id="rId30" display="https://github.com/Wamocon/kitaradar" xr:uid="{FB6F64D0-6E97-4F85-9FE5-586A08803FEC}"/>
    <hyperlink ref="Q47" r:id="rId31" display="https://github.com/Wamocon/schufacleaner" xr:uid="{82744329-AD89-4D88-841F-A1815B2FCCB9}"/>
    <hyperlink ref="Q45" r:id="rId32" display="https://github.com/Wamocon/ghostaccounts" xr:uid="{38C7FC85-E99B-4F3A-9812-60642720B903}"/>
    <hyperlink ref="Q50" r:id="rId33" display="https://github.com/Wamocon/stammfeuer" xr:uid="{31426A29-DB75-402F-80EA-5969C4BCAD85}"/>
    <hyperlink ref="Q51" r:id="rId34" display="https://github.com/Wamocon/grundsteuerPruefer" xr:uid="{BE4F874D-5762-4781-9CE4-448A0B62A9F2}"/>
    <hyperlink ref="Q52" r:id="rId35" display="https://github.com/Wamocon/rideproof" xr:uid="{F96665ED-1C2A-4035-8169-A057ED1F83E4}"/>
    <hyperlink ref="Q53" r:id="rId36" display="https://github.com/Wamocon/makeartalanya-app" xr:uid="{F5504D43-6242-4106-A8ED-5C0EE23E5823}"/>
    <hyperlink ref="Q54" r:id="rId37" display="https://github.com/Wamocon/parzella" xr:uid="{5AC72644-2EB5-4976-94B4-0294C36EA790}"/>
    <hyperlink ref="Q20" r:id="rId38" display="https://github.com/Wamocon/WMC-Anforderungsportal" xr:uid="{08A9938B-E28A-45AA-B3CF-009503A4BD53}"/>
    <hyperlink ref="Q55" r:id="rId39" display="https://github.com/Wamocon/belegbox" xr:uid="{2724889B-788C-41B9-9AF5-C745444A6CF6}"/>
    <hyperlink ref="Q56" r:id="rId40" display="https://github.com/Wamocon/BuyRight-AI" xr:uid="{51317895-F893-48A4-9446-6EE6A18DC6D0}"/>
    <hyperlink ref="Q57" r:id="rId41" display="https://github.com/Wamocon/auktivo" xr:uid="{35FB53D1-2CB3-4236-ADE3-7F075D112888}"/>
    <hyperlink ref="Q58" r:id="rId42" display="https://github.com/Wamocon/cardscan" xr:uid="{28BD5AD9-1205-4BF5-B3ED-4BAC17A116F1}"/>
    <hyperlink ref="Q59" r:id="rId43" display="https://github.com/Wamocon/treffpunkt" xr:uid="{CC6F4C6A-259E-47FA-B4A3-1B5081FCB0FF}"/>
    <hyperlink ref="Q60" r:id="rId44" display="https://github.com/Wamocon/kinderpartyplaner" xr:uid="{46F350F9-B6B9-456B-A394-904F58AF0DD7}"/>
    <hyperlink ref="Q26" r:id="rId45" display="https://github.com/Wamocon/energy" xr:uid="{E6BD7207-C899-46F8-AF04-9A34BCAEA61B}"/>
    <hyperlink ref="I4" r:id="rId46" tooltip="https://wamocon.github.io/plan-it_landing_page/" display="https://wamocon.github.io/plan-it_landing_page/" xr:uid="{01C8ECEF-503C-4058-8FDA-08C519FD78D7}"/>
    <hyperlink ref="I3" r:id="rId47" xr:uid="{F4845CC7-06CA-459D-ACB2-11DBAD0294BC}"/>
    <hyperlink ref="J15" r:id="rId48" tooltip="https://wamocon.github.io/dailyecho_lp/" xr:uid="{3ADC9A6A-D400-4407-ABED-0D367D75E6D7}"/>
    <hyperlink ref="I10" r:id="rId49" tooltip="https://curly-couscous-zg4j298.pages.github.io/" xr:uid="{EBAEB5B8-A8AF-4EA6-A911-88D1617F9822}"/>
    <hyperlink ref="I19" r:id="rId50" tooltip="https://wamocon.github.io/meine_wohnung_lp_1/" display="https://wamocon.github.io/meine_wohnung_lp_1/" xr:uid="{06E99C87-372C-41B2-8885-C612A78911D4}"/>
    <hyperlink ref="I14" r:id="rId51" xr:uid="{D7D29E41-DAB6-449F-AF25-ADB9189407BF}"/>
    <hyperlink ref="J5" r:id="rId52" xr:uid="{54A1F409-C97E-4A91-9904-7945C0246758}"/>
    <hyperlink ref="I21" r:id="rId53" xr:uid="{A43834F4-6A9E-4F15-B38B-0B204F5258C4}"/>
    <hyperlink ref="I17" r:id="rId54" tooltip="https://redesigned-guide-v3ypon5.pages.github.io/" xr:uid="{5C1BA5C9-B0FF-46AE-9B73-05BABC8BBC46}"/>
    <hyperlink ref="I16" r:id="rId55" tooltip="https://fantastic-adventure-g4qyq8k.pages.github.io/" xr:uid="{949B6DCD-37C2-485A-90C8-E2FA666287A1}"/>
    <hyperlink ref="I28" r:id="rId56" tooltip="https://wamocon.github.io/carman_lp/" display="https://wamocon.github.io/carman_lp/" xr:uid="{9A84C373-4A74-4029-80FD-55695AA022E9}"/>
    <hyperlink ref="I33" r:id="rId57" tooltip="https://Wamocon.github.io/ladeKompass_lp/" xr:uid="{20F1684F-6250-4747-B137-BF1BD01B7512}"/>
    <hyperlink ref="I35" r:id="rId58" tooltip="https://wamocon.github.io/backofficeassistent_lp/" display="https://wamocon.github.io/backofficeassistent_lp/" xr:uid="{3475BFB9-F2BB-4273-9EED-6547E81108C9}"/>
    <hyperlink ref="I32" r:id="rId59" tooltip="https://Wamocon.github.io/vertragsmanager_lp/" display="https://wamocon.github.io/vertragsmanager_lp/" xr:uid="{DF5AD3A1-D4CA-43EE-A43A-E604DCAC357C}"/>
    <hyperlink ref="I37" r:id="rId60" tooltip="https://Wamocon.github.io/KI-Prufungstrainer_lp/" display="https://wamocon.github.io/KI-Prufungstrainer_lp/" xr:uid="{E5252B63-1237-4D47-B7F2-F72FE221F502}"/>
    <hyperlink ref="I36" r:id="rId61" tooltip="https://Wamocon.github.io/bedarfspilot_lp/" display="https://wamocon.github.io/bedarfspilot_lp/" xr:uid="{7B117943-ADA8-4789-9D32-D0F6B492BB10}"/>
    <hyperlink ref="I41" r:id="rId62" tooltip="https://Wamocon.github.io/wartezeit-waechter_lp/" display="https://wamocon.github.io/wartezeit-waechter_lp/" xr:uid="{6E3962B0-96FF-44F1-B564-2D92C6CA5141}"/>
    <hyperlink ref="I39" r:id="rId63" tooltip="https://Wamocon.github.io/LocalForge_lp/" display="https://wamocon.github.io/LocalForge_lp/" xr:uid="{4F6E2150-95F0-4B6F-88E3-FB21CA0C6664}"/>
    <hyperlink ref="I42" r:id="rId64" tooltip="https://Wamocon.github.io/wg-planer_lp/" display="https://wamocon.github.io/wg-planer_lp/" xr:uid="{A594A9E6-7772-4C80-B84D-80155FA1E0F7}"/>
    <hyperlink ref="I46" r:id="rId65" tooltip="https://wamocon.github.io/kitaradar_lp/" display="https://wamocon.github.io/kitaradar_lp/" xr:uid="{D5E7D36A-13B3-435B-A7D3-C21D4B86D16F}"/>
    <hyperlink ref="I47" r:id="rId66" tooltip="https://Wamocon.github.io/schufacleaner_lp/" display="https://wamocon.github.io/schufacleaner_lp/" xr:uid="{CBA8086C-E12F-42FF-BF78-59FBE66B04D3}"/>
    <hyperlink ref="I48" r:id="rId67" tooltip="https://Wamocon.github.io/meinezielcollage_lp/" display="https://wamocon.github.io/meinezielcollage_lp/" xr:uid="{EC4E7B0B-24BD-4AA0-858E-983DF8ACCB1B}"/>
    <hyperlink ref="I59" r:id="rId68" tooltip="https://Wamocon.github.io/treffpunkt_lp/" display="https://wamocon.github.io/treffpunkt_lp/" xr:uid="{2027A072-9898-4A08-8BBE-73B2CED27E79}"/>
    <hyperlink ref="I45" r:id="rId69" tooltip="https://Wamocon.github.io/ghostaccounts_lp/" display="https://wamocon.github.io/ghostaccounts_lp/" xr:uid="{5FCEA4D6-3EAC-4C69-8F3D-5D4A8547C7CA}"/>
    <hyperlink ref="I44" r:id="rId70" tooltip="https://Wamocon.github.io/vereinsping_lp/" display="https://wamocon.github.io/vereinsping_lp/" xr:uid="{B7496C1F-0A6A-4299-B1CA-FB1EDFEA7CEE}"/>
    <hyperlink ref="I49" r:id="rId71" tooltip="https://Wamocon.github.io/Sirin_lp/" display="https://wamocon.github.io/Sirin_lp/" xr:uid="{E427B0FE-769B-4992-B8EC-7F8FA71C5448}"/>
    <hyperlink ref="I54" r:id="rId72" tooltip="https://Wamocon.github.io/parzella_lp/" display="https://wamocon.github.io/parzella_lp/" xr:uid="{ADBBB411-BFFF-4E1F-AC16-4B2033554BD3}"/>
    <hyperlink ref="I57" r:id="rId73" tooltip="https://Wamocon.github.io/auktivo_lp/" display="https://wamocon.github.io/auktivo_lp/" xr:uid="{C27A9E2C-8DB3-4A44-A957-79996C7E52D0}"/>
    <hyperlink ref="I58" r:id="rId74" tooltip="https://Wamocon.github.io/cardscan_lp/" display="https://wamocon.github.io/cardscan_lp/" xr:uid="{900F6FCF-C8DC-439B-AFF9-2CDA80879197}"/>
    <hyperlink ref="K5" r:id="rId75" display="../../../../../../../:f:/p/waleri_moretz/IgDoeV0bkCjAQpZANLT0zOesAf7CC3LDe4SKI9KdXn6yCAU?e=LdnEw4" xr:uid="{6F41F657-96AD-4CA3-936F-B0DF1DB185BF}"/>
    <hyperlink ref="K4" r:id="rId76" display="../../../../../../../:f:/p/waleri_moretz/IgD_wy2X73foTas3U8Zs7C3xAWruQePLbaU9dRfmVB6xHcU?e=aBm4DB" xr:uid="{4C40581E-F46B-40C3-9374-77BA00CCB98A}"/>
    <hyperlink ref="K10" r:id="rId77" display="../../../../../../../:f:/p/waleri_moretz/IgDtk-TEwqsBQL6caNS8NRiKAVCC9r7ldxEcJuG2inWli3k?e=1bgbgu" xr:uid="{2B83C4F5-1D78-4F23-B65C-9DF2CD716BEA}"/>
    <hyperlink ref="K16" r:id="rId78" display="../../../../../../../:f:/p/waleri_moretz/IgAQNIKFimP0SqZIBKQyN9sWAbKhlnljrolgnmvOluJaMX8?e=3q1L8o" xr:uid="{BC28F148-8B39-410A-9CCD-5B06DFCD2703}"/>
    <hyperlink ref="K14" r:id="rId79" display="../../../../../../../:f:/p/waleri_moretz/IgCkEBmINOYiRp-T8afJLEnyAexK9WAx26jOUhRFDaToQEs?e=qJCl4x" xr:uid="{1A3564EF-F7DF-4C2D-B0F5-9BB9A707343C}"/>
    <hyperlink ref="K19" r:id="rId80" display="../../../../../../../:f:/p/waleri_moretz/IgASDDzn_SRdSZIjjLbPX0L3AW1o2tG7k-9fNg1t5Cpir84?e=xxoPTg" xr:uid="{DFE1DE12-76A7-4CC5-AD15-18112B85DFF1}"/>
    <hyperlink ref="K17" r:id="rId81" display="../../../../../../../:f:/p/waleri_moretz/IgAurtnstp9ZTr8IEyzfCEw-AcmH9Fr9MU59VC3-J40_ko0?e=HH66D9" xr:uid="{ABCD268E-138A-4027-87B9-483F77763A1A}"/>
    <hyperlink ref="K21" r:id="rId82" display="../../../../../../../:f:/p/waleri_moretz/IgDj4VOj3LGdRYTZgoQz8ZCZAfkbm70v6pAj5v_91udgWGg?e=vvBtjF" xr:uid="{5FFC6738-893D-484F-8BE3-D32CB285AFDF}"/>
    <hyperlink ref="K28" r:id="rId83" display="../../../../../../../:f:/p/waleri_moretz/IgCZXwvJGelIR5TALiWQty-6AaEUJ7ghMWnAn8SRizs4NXs?e=I46g3a" xr:uid="{FF5DAFBC-32BD-48BE-9AC5-DFA5BD4E1D36}"/>
    <hyperlink ref="K33" r:id="rId84" display="../../../../../../../:f:/p/waleri_moretz/IgDAAXFnWO8mQKjC3Oi83fgZAU9Gg8WZT92gykvPQmaeuH8?e=xLeChc" xr:uid="{66A778C5-C718-4114-BEF8-39E44631DE07}"/>
    <hyperlink ref="K32" r:id="rId85" display="../../../../../../../:f:/p/waleri_moretz/IgATkedckwhEQYUWuIKhMay3ASNCeu5l79qKJ4prRzsQahM?e=HPhQk0" xr:uid="{F80031A7-A86E-4CB3-9780-B5CA45795119}"/>
    <hyperlink ref="K35" r:id="rId86" display="../../../../../../../:f:/p/waleri_moretz/IgAafpfQgcG6S6l2OF4-0FOcASHZ9W1Y8LqlNGHNs0-YFyI?e=59Tbn9" xr:uid="{1ACF231B-1FF8-4B24-94C4-E95CA3911022}"/>
    <hyperlink ref="K36" r:id="rId87" display="../../../../../../../:f:/p/waleri_moretz/IgBQulYIDqD_QJnc6jM9l0Y8Ab6IM5bYmshQhgRztDsR3ag?e=s3pvF6" xr:uid="{67CAF375-F9ED-49D7-82BA-701EF470D496}"/>
    <hyperlink ref="K42" r:id="rId88" display="../../../../../../../:f:/p/waleri_moretz/IgCJGMvjvb9XSoXeTvE9rbZtAS0mA4Rv57g7ItMI_E7s4ms?e=HacDkx" xr:uid="{DB3D3466-998A-4BE8-8815-10D93FBC391E}"/>
    <hyperlink ref="K37" r:id="rId89" display="../../../../../../../:f:/p/waleri_moretz/IgD0RZFc6LT8Q4CfluaD2Jc6AcHw0JGQ36xDd7OsB4gvO8I?e=HBOjPd" xr:uid="{99C9B50F-15A1-4459-A174-E4801E1E3715}"/>
    <hyperlink ref="K39" r:id="rId90" display="../../../../../../../:f:/p/waleri_moretz/IgB6iKCoZLK-R5joN7eajRFRAWt0xeEQ1HrYN9hXtp1r6hc?e=l6iibZ" xr:uid="{5579C6CE-2977-47B7-B3B2-8B444AED3CEC}"/>
    <hyperlink ref="K41" r:id="rId91" display="../../../../../../../:f:/p/waleri_moretz/IgA2P2ahQW2zRIlOA9BA4tuUAQRzOZhSPNJcfhkIfeRJpEs?e=tciSXk" xr:uid="{09E5D15A-3C95-4EAD-8988-2E327ADB2D15}"/>
    <hyperlink ref="K49" r:id="rId92" display="../../../../../../../:f:/p/waleri_moretz/IgArnZFhHP4BQoGCoFUhv7_SAd1vLGwiqAGq8VvxPB1Z1dI?e=hU15zS" xr:uid="{85D2613F-3C7B-46AB-905D-1A822F079748}"/>
    <hyperlink ref="K44" r:id="rId93" display="../../../../../../../:f:/p/waleri_moretz/IgA76Noy1uCCTbiSEKrPmSdPAafo5PGbLy0phkUu3naZpDg?e=MdfiTB" xr:uid="{D0CD0130-2107-453A-B54F-523F7335DEDF}"/>
    <hyperlink ref="K45" r:id="rId94" display="../../../../../../../:f:/p/waleri_moretz/IgAxZK3-tMbQQblMCm4LLYTHAd3Ugs62Nad2ni3gvWeWD1Y?e=b7YI91" xr:uid="{EFAA864F-2A92-4F85-9A31-BB4F05F9A09F}"/>
    <hyperlink ref="K46" r:id="rId95" display="../../../../../../../:f:/p/waleri_moretz/IgAW9ROMTzzzSLW5hIHQ6k7EATC2O6MZJ9t08WD9Efg2EAw?e=eECNX1" xr:uid="{6A94F713-713F-4A15-BA17-386916834CBA}"/>
    <hyperlink ref="K47" r:id="rId96" display="../../../../../../../:f:/p/waleri_moretz/IgBNeNNgIqfXQo1AqTKMHH6jASdBqs5A05y7OIhIKo5F428?e=nniK3h" xr:uid="{FD9D03DB-DBD5-4BBF-B0E2-7D10EF8B67DC}"/>
    <hyperlink ref="K48" r:id="rId97" display="../../../../../../../:f:/p/waleri_moretz/IgDymUR6RGC7SL7g3PAfjI2MAeYZzbgqu3IyA8LsYtV-948?e=Qj0XBh" xr:uid="{3A158CAC-39AC-47F6-86AF-A0FCD8726B14}"/>
    <hyperlink ref="K59" r:id="rId98" display="../../../../../../../:f:/p/waleri_moretz/IgBMZ0EhnlvKRKzSUo6GJTvGAfWE6Y1iZCgtqDhliaYZzD8?e=Pzl1Fo" xr:uid="{5A8F8C58-860E-4A12-A1F3-612E286F2189}"/>
    <hyperlink ref="K55" r:id="rId99" display="../../../../../../../:f:/p/waleri_moretz/IgBizQPZICAaQokzVFaDSVGeAZHL3HgZjB_2F3FQkiyr8Fc?e=HbPYHf" xr:uid="{7499E795-C343-44B7-9324-43A44E9F4CD9}"/>
    <hyperlink ref="K60" r:id="rId100" display="../../../../../../../:f:/p/waleri_moretz/IgAet9ywi9Z_QbF_jdmCn0kCAQ9B2p5C0CAc5uKD7tuFk5Y?e=jYRloq" xr:uid="{C72D089C-3451-4560-82EE-FECC3B4C6665}"/>
    <hyperlink ref="K50" r:id="rId101" display="../../../../../../../:f:/p/waleri_moretz/IgD8L5PUwFZ1Qbc8PRO4w3OJAbyNhmsttaKjqeE0ZDfHgmc?e=aPJJgr" xr:uid="{D1AE5ED3-8EB0-411F-8799-E4F77A13A4FE}"/>
    <hyperlink ref="K51" r:id="rId102" display="../../../../../../../:f:/p/waleri_moretz/IgDvMLVb_fhdQqJzxJGGeA7gAb6HzYEsW6YuPPpHVC5Pnro?e=zfz2Gy" xr:uid="{FD3E24CB-0885-48F9-B389-32F92FD179C3}"/>
    <hyperlink ref="K53" r:id="rId103" display="../../../../../../../:f:/p/waleri_moretz/IgBOT-UPAN8sRLsJrP3RuiHGATB_S_8EgO-x1kU3flCy4CA?e=II5TSb" xr:uid="{FFD790EA-FCDF-4653-AEE0-AE64F5EFF747}"/>
    <hyperlink ref="K58" r:id="rId104" display="../../../../../../../:f:/p/waleri_moretz/IgACkqcG2h_SS40HEqAeVlVsAWp45MhjswUuP8ziARLE6L0?e=xGqnoX" xr:uid="{7CAFD5CF-89C5-48D5-8320-04FD89CD4840}"/>
    <hyperlink ref="K52" r:id="rId105" display="../../../../../../../:f:/p/waleri_moretz/IgAZrGwFbuMbT71UzxIOqobdAQKGL1V6pQ30wTwohhPCuQU?e=Pt8lyD" xr:uid="{CBB00356-732F-4380-AF82-7B4357772720}"/>
    <hyperlink ref="K56" r:id="rId106" display="../../../../../../../:f:/p/waleri_moretz/IgAeMafDl48jQZJWEbxHs2t2AetonRu_t3FU5b6Sa7KK20A?e=XELsMC" xr:uid="{24670716-01AD-46AE-BA3B-DA12BA2EC689}"/>
    <hyperlink ref="K57" r:id="rId107" display="../../../../../../../:f:/p/waleri_moretz/IgDz-Gd8wBUxTKOhu9Un7bajAXmZDdIpzIRw2iEmuCwEcgc?e=6vToHT" xr:uid="{87F7EE2A-89FB-4E0C-BAD8-C1A746358912}"/>
    <hyperlink ref="K54" r:id="rId108" display="../../../../../../../:f:/p/waleri_moretz/IgC0UEsd9w0HQYGVgFR8MZYhAbd5vlRwqVB_IMH0tQxFO2Y?e=x00f9Y" xr:uid="{A26C8A46-09BD-4EB4-93D1-1F6998655F39}"/>
    <hyperlink ref="J14" r:id="rId109" xr:uid="{C2D692C7-EAAB-4633-A07C-682F72F5524A}"/>
    <hyperlink ref="J3" r:id="rId110" xr:uid="{B8913163-1EB1-4369-BDD1-0BEFF6083D0F}"/>
    <hyperlink ref="J32" r:id="rId111" xr:uid="{7AE53D86-DAC4-455C-A3AB-67CB8E8CDCCB}"/>
    <hyperlink ref="J36" r:id="rId112" xr:uid="{03C02A59-F4D4-4222-A8E2-C438A7BD5EAC}"/>
    <hyperlink ref="I5" r:id="rId113" xr:uid="{931B5511-B068-4433-B9BE-2A455B51F587}"/>
    <hyperlink ref="I15" r:id="rId114" xr:uid="{B17BF004-A8FA-4419-9E54-9795F04A95F7}"/>
    <hyperlink ref="Q18" r:id="rId115" display="https://github.com/Wamocon/ai_safeguard" xr:uid="{6877C4D8-D09D-43CE-A930-C76D64657FB7}"/>
    <hyperlink ref="I25" r:id="rId116" tooltip="https://wamocon.github.io/meine_wohnung_lp_1/" display="https://wamocon.github.io/meine_wohnung_lp_1/" xr:uid="{192A09A5-B359-4AD7-BEBE-F080EF2CC75D}"/>
    <hyperlink ref="J16" r:id="rId117" xr:uid="{DAAF6112-29F3-48AB-BF00-EFB5BDBBE423}"/>
    <hyperlink ref="J56" r:id="rId118" xr:uid="{9BF898D8-6C36-CC45-95AF-AC83E649C812}"/>
    <hyperlink ref="I56" r:id="rId119" xr:uid="{9914A6FE-DF0E-9D40-8D21-53C61CFA5DA8}"/>
    <hyperlink ref="I50" r:id="rId120" xr:uid="{1674D0E0-8376-475B-A8B8-536452EDF765}"/>
    <hyperlink ref="I51" r:id="rId121" xr:uid="{2864EBC4-8CD2-447F-B306-2272F508E115}"/>
    <hyperlink ref="J51" r:id="rId122" xr:uid="{D463C49F-9492-4A38-8683-C68FA832BD21}"/>
    <hyperlink ref="J50" r:id="rId123" xr:uid="{30CA77F4-8759-4DDA-A0B2-6271B291BFDE}"/>
    <hyperlink ref="L4" r:id="rId124" xr:uid="{7970DE97-8472-418E-B126-78B8EAB6B003}"/>
    <hyperlink ref="L10" r:id="rId125" xr:uid="{55690E11-5CE8-4647-B92A-5F686B139D7E}"/>
    <hyperlink ref="L16" r:id="rId126" xr:uid="{F3CB1862-9C9D-42A5-8DD3-619A40387D20}"/>
    <hyperlink ref="L17" r:id="rId127" xr:uid="{7B6E593C-58D0-496D-836A-F695018C571E}"/>
    <hyperlink ref="L33" r:id="rId128" xr:uid="{64A10FBD-E853-46E0-8616-C634863F8DCC}"/>
    <hyperlink ref="J33" r:id="rId129" xr:uid="{DC3D038B-7AB6-4F99-BE74-6474547E9F0B}"/>
    <hyperlink ref="L50" r:id="rId130" xr:uid="{517473C9-F0F4-4874-9562-3F24FECDE1CF}"/>
    <hyperlink ref="L46" r:id="rId131" xr:uid="{5DBF4DD8-BA7D-4ECA-97C2-F3DEBA0C7DA7}"/>
    <hyperlink ref="K15" r:id="rId132" xr:uid="{AEF564A8-987A-4ECD-B2BD-8DE55B542585}"/>
    <hyperlink ref="L47" r:id="rId133" xr:uid="{CC9BAFE0-8FDB-4211-B3C7-4D5AD3FD76FF}"/>
    <hyperlink ref="L15" r:id="rId134" xr:uid="{DB98F9BA-F339-4B66-B6EB-AAE876942C38}"/>
    <hyperlink ref="L54" r:id="rId135" xr:uid="{3470CB28-47FA-49F8-BCAF-E2CEF950913E}"/>
    <hyperlink ref="J57" r:id="rId136" xr:uid="{ECA3FAD2-47C1-4870-B86F-8A28C07F771D}"/>
    <hyperlink ref="L57" r:id="rId137" xr:uid="{AC9D20C8-5B8A-49D2-91D0-5CC81576D209}"/>
    <hyperlink ref="I23" r:id="rId138" tooltip="https://redesigned-guide-v3ypon5.pages.github.io/" xr:uid="{12C2D4D3-D8A0-43D9-BC7E-C6AE3EF0B75B}"/>
    <hyperlink ref="I22" r:id="rId139" tooltip="https://fantastic-adventure-g4qyq8k.pages.github.io/" xr:uid="{40120A64-854E-49F5-954D-F3C5E5CDB395}"/>
    <hyperlink ref="J22" r:id="rId140" xr:uid="{AA972E7B-C8CE-4897-A3C3-50E48CE3AFD7}"/>
    <hyperlink ref="L22" r:id="rId141" xr:uid="{11E25B21-653A-48AD-870C-A3B0E808C261}"/>
    <hyperlink ref="J23" r:id="rId142" xr:uid="{879706B3-34F1-4461-BBCE-71251555095E}"/>
    <hyperlink ref="L23" r:id="rId143" xr:uid="{9EC8E378-8731-4E6C-9429-91B74649D5C8}"/>
    <hyperlink ref="Q23" r:id="rId144" display="https://github.com/Wamocon/trace" xr:uid="{E0549A07-A19A-44F6-8AC3-A3288C688E3E}"/>
    <hyperlink ref="Q22" r:id="rId145" display="https://github.com/Wamocon/away" xr:uid="{2E1998C9-A020-463D-8762-01D019EB8601}"/>
    <hyperlink ref="K22" r:id="rId146" xr:uid="{C0596BB2-2BEC-4EAB-81D7-2BDFD4175EE7}"/>
    <hyperlink ref="K23" r:id="rId147" xr:uid="{B9EA3961-7DB1-46C6-9604-991697D0819F}"/>
    <hyperlink ref="I30" r:id="rId148" tooltip="https://curly-couscous-zg4j298.pages.github.io/" xr:uid="{2C1EBB30-DAA3-446E-8C73-93661E837A1F}"/>
    <hyperlink ref="K30" r:id="rId149" display="../../../../../../../:f:/p/waleri_moretz/IgDtk-TEwqsBQL6caNS8NRiKAVCC9r7ldxEcJuG2inWli3k?e=1bgbgu" xr:uid="{F3363914-61A1-45D9-A0B8-957E42104B13}"/>
    <hyperlink ref="L30" r:id="rId150" xr:uid="{AFC5D1BA-C816-4FED-B031-AF6F9B25F53C}"/>
    <hyperlink ref="J30" r:id="rId151" xr:uid="{2C33418D-8D7E-4FD9-AADD-5110D2D7AD2E}"/>
    <hyperlink ref="Q30" r:id="rId152" xr:uid="{9365FEB8-D17E-4A53-9020-7A24583EB53D}"/>
    <hyperlink ref="J52" r:id="rId153" xr:uid="{DE8F9008-C45A-4AF9-B8AE-3214C33AE730}"/>
    <hyperlink ref="L52" r:id="rId154" display="https://wamocon-my.sharepoint.com/:w:/p/waleri_moretz/IQDsEi5_4wTyRZppBlDfyPdZAcgxtOP_qrJwZf4D3LhGp9s?e=qMxXa2" xr:uid="{F1D3892B-E12D-411B-BA8F-C756A4A4254B}"/>
    <hyperlink ref="L19" r:id="rId155" xr:uid="{5016193C-2A74-4949-8261-3D8E49655645}"/>
    <hyperlink ref="K25" r:id="rId156" display="../../../../../../../:f:/p/waleri_moretz/IgASDDzn_SRdSZIjjLbPX0L3AW1o2tG7k-9fNg1t5Cpir84?e=xxoPTg" xr:uid="{E8ED2431-E6F3-4C47-B209-A4555CFE9FED}"/>
    <hyperlink ref="L25" r:id="rId157" xr:uid="{81E3C0E8-5FAF-4D7C-8657-E3E5AD3C07F6}"/>
    <hyperlink ref="J35" r:id="rId158" xr:uid="{C1C74052-C6DD-4B00-99EB-E7CFB4D0CD7C}"/>
    <hyperlink ref="L35" r:id="rId159" xr:uid="{6D684682-9B21-49B2-80E8-1CC14554B639}"/>
    <hyperlink ref="J37" r:id="rId160" xr:uid="{0D2847D9-693D-4D75-8055-ED4719EBA5E2}"/>
    <hyperlink ref="L37" r:id="rId161" xr:uid="{CEADEE2A-65C1-46FC-AB66-F35695811E27}"/>
    <hyperlink ref="J58" r:id="rId162" xr:uid="{305C7AF7-3983-454D-A360-C6231CD45637}"/>
    <hyperlink ref="L58" r:id="rId163" xr:uid="{8BEBA16B-6AB7-4A82-B82B-71AD4B8C81A4}"/>
    <hyperlink ref="J42" r:id="rId164" xr:uid="{921384E5-FB0F-4BDC-B3E6-670B0F8CDB94}"/>
    <hyperlink ref="L42" r:id="rId165" xr:uid="{9545F37C-BABC-4068-A146-96A640646BE6}"/>
    <hyperlink ref="J19" r:id="rId166" xr:uid="{878BBC9F-D2CC-49C5-91D6-3C62CD371595}"/>
    <hyperlink ref="L7" r:id="rId167" xr:uid="{508A5217-15CF-42D1-BDF9-B7E3C41F1122}"/>
    <hyperlink ref="K7" r:id="rId168" xr:uid="{71814CF9-C212-4984-B0E9-BC48C037B780}"/>
    <hyperlink ref="L24" r:id="rId169" xr:uid="{4375E45D-A09A-4B6F-932A-E848E4BF8E35}"/>
    <hyperlink ref="L27" r:id="rId170" xr:uid="{1E52510E-B0A0-4C0D-9334-A5B153F5721F}"/>
    <hyperlink ref="K24" r:id="rId171" xr:uid="{227823A0-DFDA-47D1-8D63-3D70440E88DA}"/>
    <hyperlink ref="K27" r:id="rId172" xr:uid="{DAAC1A53-8683-44E9-B39F-5454E21763E1}"/>
    <hyperlink ref="K34" r:id="rId173" xr:uid="{D23C790A-3100-471D-9585-09B6B3A3E929}"/>
    <hyperlink ref="L34" r:id="rId174" xr:uid="{B5F744E4-012E-498B-97C4-54907BFEC6CC}"/>
    <hyperlink ref="K38" r:id="rId175" xr:uid="{C0D5AC8D-670F-4E8F-8908-EA0AA16F8761}"/>
    <hyperlink ref="J60" r:id="rId176" xr:uid="{74B405BB-7EC0-4A2A-9276-A4B18F8317BF}"/>
    <hyperlink ref="J55" r:id="rId177" xr:uid="{C57EEF54-BD20-4E64-A166-1FCD654F0BCB}"/>
  </hyperlinks>
  <pageMargins left="0.7" right="0.7" top="0.78740157499999996" bottom="0.78740157499999996" header="0.3" footer="0.3"/>
  <pageSetup paperSize="9" orientation="portrait" r:id="rId17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BCF1E-48D6-4C9B-8A3E-4F526BB3B4BB}">
  <dimension ref="A2:F66"/>
  <sheetViews>
    <sheetView workbookViewId="0"/>
  </sheetViews>
  <sheetFormatPr baseColWidth="10" defaultColWidth="11.453125" defaultRowHeight="14.5"/>
  <cols>
    <col min="3" max="3" width="38.26953125" bestFit="1" customWidth="1"/>
    <col min="4" max="4" width="10.453125" bestFit="1" customWidth="1"/>
    <col min="5" max="5" width="5.81640625" bestFit="1" customWidth="1"/>
    <col min="6" max="6" width="33.7265625" customWidth="1"/>
  </cols>
  <sheetData>
    <row r="2" spans="1:6" ht="18.5">
      <c r="B2" s="95" t="s">
        <v>734</v>
      </c>
      <c r="C2" s="95"/>
    </row>
    <row r="3" spans="1:6">
      <c r="A3" s="16">
        <v>46106</v>
      </c>
    </row>
    <row r="4" spans="1:6" ht="28">
      <c r="B4" s="6" t="s">
        <v>735</v>
      </c>
      <c r="C4" s="6" t="s">
        <v>94</v>
      </c>
      <c r="D4" s="6" t="s">
        <v>95</v>
      </c>
      <c r="E4" s="6" t="s">
        <v>96</v>
      </c>
      <c r="F4" s="41" t="s">
        <v>63</v>
      </c>
    </row>
    <row r="5" spans="1:6">
      <c r="B5" s="7" t="s">
        <v>288</v>
      </c>
      <c r="C5" s="19" t="s">
        <v>289</v>
      </c>
      <c r="D5" s="20" t="s">
        <v>290</v>
      </c>
      <c r="E5" s="42">
        <v>3</v>
      </c>
      <c r="F5" s="20"/>
    </row>
    <row r="6" spans="1:6">
      <c r="B6" s="7" t="s">
        <v>118</v>
      </c>
      <c r="C6" s="7" t="s">
        <v>119</v>
      </c>
      <c r="D6" s="7" t="s">
        <v>120</v>
      </c>
      <c r="E6" s="18">
        <v>3</v>
      </c>
      <c r="F6" s="20"/>
    </row>
    <row r="7" spans="1:6">
      <c r="B7" s="7" t="s">
        <v>273</v>
      </c>
      <c r="C7" s="33" t="s">
        <v>274</v>
      </c>
      <c r="D7" s="33" t="s">
        <v>276</v>
      </c>
      <c r="E7" s="43">
        <v>3</v>
      </c>
      <c r="F7" s="20"/>
    </row>
    <row r="8" spans="1:6">
      <c r="B8" s="7" t="s">
        <v>162</v>
      </c>
      <c r="C8" s="23" t="s">
        <v>736</v>
      </c>
      <c r="D8" s="23" t="s">
        <v>165</v>
      </c>
      <c r="E8" s="44">
        <v>3</v>
      </c>
      <c r="F8" s="20"/>
    </row>
    <row r="9" spans="1:6">
      <c r="B9" s="7" t="s">
        <v>341</v>
      </c>
      <c r="C9" s="20" t="s">
        <v>737</v>
      </c>
      <c r="D9" s="20" t="s">
        <v>330</v>
      </c>
      <c r="E9" s="45">
        <v>3</v>
      </c>
      <c r="F9" s="20"/>
    </row>
    <row r="10" spans="1:6">
      <c r="B10" s="7" t="s">
        <v>345</v>
      </c>
      <c r="C10" s="20" t="s">
        <v>738</v>
      </c>
      <c r="D10" s="20" t="s">
        <v>330</v>
      </c>
      <c r="E10" s="45">
        <v>3</v>
      </c>
      <c r="F10" s="20"/>
    </row>
    <row r="11" spans="1:6">
      <c r="B11" s="7" t="s">
        <v>347</v>
      </c>
      <c r="C11" s="20" t="s">
        <v>348</v>
      </c>
      <c r="D11" s="20" t="s">
        <v>349</v>
      </c>
      <c r="E11" s="45">
        <v>3</v>
      </c>
      <c r="F11" s="20"/>
    </row>
    <row r="12" spans="1:6">
      <c r="B12" s="7" t="s">
        <v>350</v>
      </c>
      <c r="C12" s="23" t="s">
        <v>739</v>
      </c>
      <c r="D12" s="20" t="s">
        <v>335</v>
      </c>
      <c r="E12" s="45">
        <v>3</v>
      </c>
      <c r="F12" s="20"/>
    </row>
    <row r="13" spans="1:6">
      <c r="B13" s="7" t="s">
        <v>352</v>
      </c>
      <c r="C13" s="20" t="s">
        <v>353</v>
      </c>
      <c r="D13" s="20" t="s">
        <v>335</v>
      </c>
      <c r="E13" s="45">
        <v>3</v>
      </c>
      <c r="F13" s="20"/>
    </row>
    <row r="14" spans="1:6">
      <c r="B14" s="7" t="s">
        <v>354</v>
      </c>
      <c r="C14" s="20" t="s">
        <v>740</v>
      </c>
      <c r="D14" s="20" t="s">
        <v>181</v>
      </c>
      <c r="E14" s="45">
        <v>3</v>
      </c>
      <c r="F14" s="20"/>
    </row>
    <row r="21" spans="1:6">
      <c r="A21" s="16">
        <v>46106</v>
      </c>
    </row>
    <row r="22" spans="1:6" ht="28">
      <c r="B22" s="6" t="s">
        <v>735</v>
      </c>
      <c r="C22" s="6" t="s">
        <v>94</v>
      </c>
      <c r="D22" s="6" t="s">
        <v>95</v>
      </c>
      <c r="E22" s="6" t="s">
        <v>96</v>
      </c>
      <c r="F22" s="41" t="s">
        <v>63</v>
      </c>
    </row>
    <row r="23" spans="1:6">
      <c r="B23" s="7" t="s">
        <v>288</v>
      </c>
      <c r="C23" s="19" t="s">
        <v>289</v>
      </c>
      <c r="D23" s="20" t="s">
        <v>290</v>
      </c>
      <c r="E23" s="27">
        <v>3</v>
      </c>
      <c r="F23" s="20"/>
    </row>
    <row r="24" spans="1:6">
      <c r="B24" s="7" t="s">
        <v>118</v>
      </c>
      <c r="C24" s="7" t="s">
        <v>119</v>
      </c>
      <c r="D24" s="7" t="s">
        <v>120</v>
      </c>
      <c r="E24" s="7">
        <v>3</v>
      </c>
      <c r="F24" s="20"/>
    </row>
    <row r="25" spans="1:6">
      <c r="B25" s="7" t="s">
        <v>273</v>
      </c>
      <c r="C25" s="33" t="s">
        <v>274</v>
      </c>
      <c r="D25" s="33" t="s">
        <v>276</v>
      </c>
      <c r="E25" s="33">
        <v>3</v>
      </c>
      <c r="F25" s="20"/>
    </row>
    <row r="26" spans="1:6">
      <c r="B26" s="7" t="s">
        <v>162</v>
      </c>
      <c r="C26" s="23" t="s">
        <v>736</v>
      </c>
      <c r="D26" s="23" t="s">
        <v>165</v>
      </c>
      <c r="E26" s="23">
        <v>3</v>
      </c>
      <c r="F26" s="20"/>
    </row>
    <row r="27" spans="1:6">
      <c r="B27" s="7" t="s">
        <v>341</v>
      </c>
      <c r="C27" s="20" t="s">
        <v>737</v>
      </c>
      <c r="D27" s="20" t="s">
        <v>330</v>
      </c>
      <c r="E27" s="20">
        <v>3</v>
      </c>
      <c r="F27" s="20"/>
    </row>
    <row r="28" spans="1:6">
      <c r="B28" s="7" t="s">
        <v>345</v>
      </c>
      <c r="C28" s="20" t="s">
        <v>738</v>
      </c>
      <c r="D28" s="20" t="s">
        <v>330</v>
      </c>
      <c r="E28" s="20">
        <v>3</v>
      </c>
      <c r="F28" s="20"/>
    </row>
    <row r="29" spans="1:6">
      <c r="B29" s="7" t="s">
        <v>347</v>
      </c>
      <c r="C29" s="20" t="s">
        <v>348</v>
      </c>
      <c r="D29" s="20" t="s">
        <v>349</v>
      </c>
      <c r="E29" s="20">
        <v>3</v>
      </c>
      <c r="F29" s="20"/>
    </row>
    <row r="30" spans="1:6">
      <c r="B30" s="7" t="s">
        <v>350</v>
      </c>
      <c r="C30" s="23" t="s">
        <v>739</v>
      </c>
      <c r="D30" s="20" t="s">
        <v>335</v>
      </c>
      <c r="E30" s="20">
        <v>3</v>
      </c>
      <c r="F30" s="20"/>
    </row>
    <row r="31" spans="1:6">
      <c r="B31" s="7" t="s">
        <v>352</v>
      </c>
      <c r="C31" s="20" t="s">
        <v>353</v>
      </c>
      <c r="D31" s="20" t="s">
        <v>335</v>
      </c>
      <c r="E31" s="20">
        <v>3</v>
      </c>
      <c r="F31" s="20"/>
    </row>
    <row r="32" spans="1:6">
      <c r="B32" s="7" t="s">
        <v>354</v>
      </c>
      <c r="C32" s="20" t="s">
        <v>740</v>
      </c>
      <c r="D32" s="20" t="s">
        <v>181</v>
      </c>
      <c r="E32" s="20">
        <v>3</v>
      </c>
      <c r="F32" s="20"/>
    </row>
    <row r="38" spans="1:6">
      <c r="A38" s="16">
        <v>46107</v>
      </c>
    </row>
    <row r="39" spans="1:6" ht="28">
      <c r="B39" s="6" t="s">
        <v>735</v>
      </c>
      <c r="C39" s="6" t="s">
        <v>94</v>
      </c>
      <c r="D39" s="6" t="s">
        <v>95</v>
      </c>
      <c r="E39" s="6" t="s">
        <v>96</v>
      </c>
      <c r="F39" s="41" t="s">
        <v>63</v>
      </c>
    </row>
    <row r="40" spans="1:6">
      <c r="B40" s="7" t="s">
        <v>288</v>
      </c>
      <c r="C40" s="19" t="s">
        <v>289</v>
      </c>
      <c r="D40" s="20" t="s">
        <v>290</v>
      </c>
      <c r="E40" s="27">
        <v>3</v>
      </c>
      <c r="F40" s="20"/>
    </row>
    <row r="41" spans="1:6">
      <c r="B41" s="7" t="s">
        <v>118</v>
      </c>
      <c r="C41" s="7" t="s">
        <v>119</v>
      </c>
      <c r="D41" s="7" t="s">
        <v>120</v>
      </c>
      <c r="E41" s="7">
        <v>3</v>
      </c>
      <c r="F41" s="20"/>
    </row>
    <row r="42" spans="1:6">
      <c r="B42" s="7" t="s">
        <v>273</v>
      </c>
      <c r="C42" s="33" t="s">
        <v>274</v>
      </c>
      <c r="D42" s="33" t="s">
        <v>276</v>
      </c>
      <c r="E42" s="33">
        <v>3</v>
      </c>
      <c r="F42" s="20"/>
    </row>
    <row r="43" spans="1:6">
      <c r="B43" s="7" t="s">
        <v>162</v>
      </c>
      <c r="C43" s="23" t="s">
        <v>736</v>
      </c>
      <c r="D43" s="23" t="s">
        <v>165</v>
      </c>
      <c r="E43" s="23">
        <v>3</v>
      </c>
      <c r="F43" s="20"/>
    </row>
    <row r="44" spans="1:6">
      <c r="B44" s="7" t="s">
        <v>341</v>
      </c>
      <c r="C44" s="20" t="s">
        <v>737</v>
      </c>
      <c r="D44" s="20" t="s">
        <v>330</v>
      </c>
      <c r="E44" s="20">
        <v>3</v>
      </c>
      <c r="F44" s="20"/>
    </row>
    <row r="45" spans="1:6">
      <c r="B45" s="7" t="s">
        <v>345</v>
      </c>
      <c r="C45" s="20" t="s">
        <v>738</v>
      </c>
      <c r="D45" s="20" t="s">
        <v>330</v>
      </c>
      <c r="E45" s="20">
        <v>3</v>
      </c>
      <c r="F45" s="20"/>
    </row>
    <row r="46" spans="1:6">
      <c r="B46" s="7" t="s">
        <v>347</v>
      </c>
      <c r="C46" s="20" t="s">
        <v>348</v>
      </c>
      <c r="D46" s="20" t="s">
        <v>349</v>
      </c>
      <c r="E46" s="20">
        <v>3</v>
      </c>
      <c r="F46" s="20"/>
    </row>
    <row r="47" spans="1:6">
      <c r="B47" s="7" t="s">
        <v>350</v>
      </c>
      <c r="C47" s="23" t="s">
        <v>739</v>
      </c>
      <c r="D47" s="20" t="s">
        <v>335</v>
      </c>
      <c r="E47" s="20">
        <v>3</v>
      </c>
      <c r="F47" s="20"/>
    </row>
    <row r="48" spans="1:6">
      <c r="B48" s="7" t="s">
        <v>352</v>
      </c>
      <c r="C48" s="20" t="s">
        <v>353</v>
      </c>
      <c r="D48" s="20" t="s">
        <v>335</v>
      </c>
      <c r="E48" s="20">
        <v>3</v>
      </c>
      <c r="F48" s="20"/>
    </row>
    <row r="49" spans="1:6">
      <c r="B49" s="7" t="s">
        <v>354</v>
      </c>
      <c r="C49" s="20" t="s">
        <v>740</v>
      </c>
      <c r="D49" s="20" t="s">
        <v>181</v>
      </c>
      <c r="E49" s="20">
        <v>3</v>
      </c>
      <c r="F49" s="20"/>
    </row>
    <row r="55" spans="1:6">
      <c r="A55" s="16">
        <v>46108</v>
      </c>
    </row>
    <row r="56" spans="1:6" ht="28">
      <c r="B56" s="6" t="s">
        <v>735</v>
      </c>
      <c r="C56" s="6" t="s">
        <v>94</v>
      </c>
      <c r="D56" s="6" t="s">
        <v>95</v>
      </c>
      <c r="E56" s="6" t="s">
        <v>96</v>
      </c>
      <c r="F56" s="41" t="s">
        <v>63</v>
      </c>
    </row>
    <row r="57" spans="1:6">
      <c r="B57" s="7" t="s">
        <v>288</v>
      </c>
      <c r="C57" s="19" t="s">
        <v>289</v>
      </c>
      <c r="D57" s="20" t="s">
        <v>290</v>
      </c>
      <c r="E57" s="27">
        <v>3</v>
      </c>
      <c r="F57" s="20"/>
    </row>
    <row r="58" spans="1:6">
      <c r="B58" s="7" t="s">
        <v>118</v>
      </c>
      <c r="C58" s="7" t="s">
        <v>119</v>
      </c>
      <c r="D58" s="7" t="s">
        <v>120</v>
      </c>
      <c r="E58" s="7">
        <v>3</v>
      </c>
      <c r="F58" s="20"/>
    </row>
    <row r="59" spans="1:6">
      <c r="B59" s="7" t="s">
        <v>273</v>
      </c>
      <c r="C59" s="33" t="s">
        <v>274</v>
      </c>
      <c r="D59" s="33" t="s">
        <v>276</v>
      </c>
      <c r="E59" s="33">
        <v>3</v>
      </c>
      <c r="F59" s="20"/>
    </row>
    <row r="60" spans="1:6">
      <c r="B60" s="7" t="s">
        <v>162</v>
      </c>
      <c r="C60" s="23" t="s">
        <v>736</v>
      </c>
      <c r="D60" s="23" t="s">
        <v>165</v>
      </c>
      <c r="E60" s="23">
        <v>3</v>
      </c>
      <c r="F60" s="20"/>
    </row>
    <row r="61" spans="1:6">
      <c r="B61" s="7" t="s">
        <v>341</v>
      </c>
      <c r="C61" s="20" t="s">
        <v>737</v>
      </c>
      <c r="D61" s="20" t="s">
        <v>330</v>
      </c>
      <c r="E61" s="20">
        <v>3</v>
      </c>
      <c r="F61" s="20"/>
    </row>
    <row r="62" spans="1:6">
      <c r="B62" s="7" t="s">
        <v>345</v>
      </c>
      <c r="C62" s="20" t="s">
        <v>738</v>
      </c>
      <c r="D62" s="20" t="s">
        <v>330</v>
      </c>
      <c r="E62" s="20">
        <v>3</v>
      </c>
      <c r="F62" s="20"/>
    </row>
    <row r="63" spans="1:6">
      <c r="B63" s="7" t="s">
        <v>347</v>
      </c>
      <c r="C63" s="20" t="s">
        <v>348</v>
      </c>
      <c r="D63" s="20" t="s">
        <v>349</v>
      </c>
      <c r="E63" s="20">
        <v>3</v>
      </c>
      <c r="F63" s="20"/>
    </row>
    <row r="64" spans="1:6">
      <c r="B64" s="7" t="s">
        <v>350</v>
      </c>
      <c r="C64" s="23" t="s">
        <v>739</v>
      </c>
      <c r="D64" s="20" t="s">
        <v>335</v>
      </c>
      <c r="E64" s="20">
        <v>3</v>
      </c>
      <c r="F64" s="20"/>
    </row>
    <row r="65" spans="2:6">
      <c r="B65" s="7" t="s">
        <v>352</v>
      </c>
      <c r="C65" s="20" t="s">
        <v>353</v>
      </c>
      <c r="D65" s="20" t="s">
        <v>335</v>
      </c>
      <c r="E65" s="20">
        <v>3</v>
      </c>
      <c r="F65" s="20"/>
    </row>
    <row r="66" spans="2:6">
      <c r="B66" s="7" t="s">
        <v>354</v>
      </c>
      <c r="C66" s="20" t="s">
        <v>740</v>
      </c>
      <c r="D66" s="20" t="s">
        <v>181</v>
      </c>
      <c r="E66" s="20">
        <v>3</v>
      </c>
      <c r="F66" s="20"/>
    </row>
  </sheetData>
  <mergeCells count="1">
    <mergeCell ref="B2:C2"/>
  </mergeCells>
  <pageMargins left="0.7" right="0.7" top="0.78740157499999996" bottom="0.78740157499999996" header="0.3" footer="0.3"/>
  <extLst>
    <ext xmlns:x14="http://schemas.microsoft.com/office/spreadsheetml/2009/9/main" uri="{CCE6A557-97BC-4b89-ADB6-D9C93CAAB3DF}">
      <x14:dataValidations xmlns:xm="http://schemas.microsoft.com/office/excel/2006/main" count="1">
        <x14:dataValidation type="list" allowBlank="1" xr:uid="{DA3FA59B-19E2-4DE6-B637-A5C0F33C2292}">
          <x14:formula1>
            <xm:f>_Listen!$A$2:$A$21</xm:f>
          </x14:formula1>
          <xm:sqref>D5:E6 D61:E66 D57:E58 D44:E49 D40:E41 D27:E32 D23:E24 D9:E14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51"/>
  <sheetViews>
    <sheetView zoomScale="86" workbookViewId="0">
      <pane ySplit="1" topLeftCell="A37" activePane="bottomLeft" state="frozen"/>
      <selection pane="bottomLeft" activeCell="E60" sqref="E60"/>
    </sheetView>
  </sheetViews>
  <sheetFormatPr baseColWidth="10" defaultColWidth="8.7265625" defaultRowHeight="14.5"/>
  <cols>
    <col min="1" max="1" width="6" customWidth="1"/>
    <col min="2" max="2" width="15" customWidth="1"/>
    <col min="3" max="3" width="18" customWidth="1"/>
    <col min="4" max="4" width="25" customWidth="1"/>
    <col min="5" max="5" width="45" customWidth="1"/>
    <col min="6" max="6" width="12" customWidth="1"/>
    <col min="7" max="7" width="15" customWidth="1"/>
    <col min="8" max="8" width="25" customWidth="1"/>
    <col min="9" max="9" width="40" customWidth="1"/>
    <col min="10" max="14" width="10" customWidth="1"/>
    <col min="15" max="15" width="12" style="13" customWidth="1"/>
    <col min="16" max="16" width="10" customWidth="1"/>
    <col min="17" max="18" width="30" customWidth="1"/>
  </cols>
  <sheetData>
    <row r="1" spans="1:18" ht="40" customHeight="1">
      <c r="A1" s="8" t="s">
        <v>49</v>
      </c>
      <c r="B1" s="8" t="s">
        <v>51</v>
      </c>
      <c r="C1" s="8" t="s">
        <v>741</v>
      </c>
      <c r="D1" s="8" t="s">
        <v>742</v>
      </c>
      <c r="E1" s="8" t="s">
        <v>743</v>
      </c>
      <c r="F1" s="8" t="s">
        <v>744</v>
      </c>
      <c r="G1" s="8" t="s">
        <v>745</v>
      </c>
      <c r="H1" s="8" t="s">
        <v>746</v>
      </c>
      <c r="I1" s="8" t="s">
        <v>747</v>
      </c>
      <c r="J1" s="8" t="s">
        <v>102</v>
      </c>
      <c r="K1" s="8" t="s">
        <v>103</v>
      </c>
      <c r="L1" s="8" t="s">
        <v>104</v>
      </c>
      <c r="M1" s="8" t="s">
        <v>748</v>
      </c>
      <c r="N1" s="8" t="s">
        <v>106</v>
      </c>
      <c r="O1" s="14" t="s">
        <v>107</v>
      </c>
      <c r="P1" s="8" t="s">
        <v>749</v>
      </c>
      <c r="Q1" s="8" t="s">
        <v>750</v>
      </c>
      <c r="R1" s="8" t="s">
        <v>116</v>
      </c>
    </row>
    <row r="2" spans="1:18" ht="35.25" customHeight="1">
      <c r="A2" s="7">
        <v>27</v>
      </c>
      <c r="B2" s="7" t="s">
        <v>79</v>
      </c>
      <c r="C2" s="7" t="s">
        <v>751</v>
      </c>
      <c r="D2" s="7" t="s">
        <v>752</v>
      </c>
      <c r="E2" s="7" t="s">
        <v>753</v>
      </c>
      <c r="F2" s="7">
        <v>4</v>
      </c>
      <c r="G2" s="7" t="s">
        <v>754</v>
      </c>
      <c r="H2" s="7" t="s">
        <v>755</v>
      </c>
      <c r="I2" s="7" t="s">
        <v>756</v>
      </c>
      <c r="J2" s="7">
        <v>9</v>
      </c>
      <c r="K2" s="7">
        <v>10</v>
      </c>
      <c r="L2" s="7">
        <v>5</v>
      </c>
      <c r="M2" s="7">
        <v>4</v>
      </c>
      <c r="N2" s="7">
        <f t="shared" ref="N2:N33" si="0">AVERAGE(J2:M2)</f>
        <v>7</v>
      </c>
      <c r="O2" s="12">
        <f t="shared" ref="O2:O33" si="1">(J2+K2+L2)*(10-M2)/30</f>
        <v>4.8</v>
      </c>
      <c r="P2" s="7">
        <f t="shared" ref="P2:P33" si="2">RANK(O2,$O$2:$O$51,0)</f>
        <v>1</v>
      </c>
      <c r="Q2" s="7" t="s">
        <v>757</v>
      </c>
      <c r="R2" s="7" t="s">
        <v>758</v>
      </c>
    </row>
    <row r="3" spans="1:18" ht="35.25" customHeight="1">
      <c r="A3" s="7">
        <v>3</v>
      </c>
      <c r="B3" s="7" t="s">
        <v>65</v>
      </c>
      <c r="C3" s="7" t="s">
        <v>759</v>
      </c>
      <c r="D3" s="7" t="s">
        <v>760</v>
      </c>
      <c r="E3" s="7" t="s">
        <v>761</v>
      </c>
      <c r="F3" s="7">
        <v>3</v>
      </c>
      <c r="G3" s="7" t="s">
        <v>762</v>
      </c>
      <c r="H3" s="7" t="s">
        <v>763</v>
      </c>
      <c r="I3" s="7" t="s">
        <v>764</v>
      </c>
      <c r="J3" s="7">
        <v>8</v>
      </c>
      <c r="K3" s="7">
        <v>8</v>
      </c>
      <c r="L3" s="7">
        <v>7</v>
      </c>
      <c r="M3" s="7">
        <v>4</v>
      </c>
      <c r="N3" s="7">
        <f t="shared" si="0"/>
        <v>6.75</v>
      </c>
      <c r="O3" s="12">
        <f t="shared" si="1"/>
        <v>4.5999999999999996</v>
      </c>
      <c r="P3" s="7">
        <f t="shared" si="2"/>
        <v>2</v>
      </c>
      <c r="Q3" s="7" t="s">
        <v>765</v>
      </c>
      <c r="R3" s="7" t="s">
        <v>766</v>
      </c>
    </row>
    <row r="4" spans="1:18" ht="35.25" customHeight="1">
      <c r="A4" s="7">
        <v>28</v>
      </c>
      <c r="B4" s="7" t="s">
        <v>79</v>
      </c>
      <c r="C4" s="7" t="s">
        <v>767</v>
      </c>
      <c r="D4" s="7" t="s">
        <v>768</v>
      </c>
      <c r="E4" s="7" t="s">
        <v>769</v>
      </c>
      <c r="F4" s="7">
        <v>4</v>
      </c>
      <c r="G4" s="7" t="s">
        <v>770</v>
      </c>
      <c r="H4" s="7" t="s">
        <v>771</v>
      </c>
      <c r="I4" s="7" t="s">
        <v>772</v>
      </c>
      <c r="J4" s="7">
        <v>8</v>
      </c>
      <c r="K4" s="7">
        <v>9</v>
      </c>
      <c r="L4" s="7">
        <v>6</v>
      </c>
      <c r="M4" s="7">
        <v>4</v>
      </c>
      <c r="N4" s="7">
        <f t="shared" si="0"/>
        <v>6.75</v>
      </c>
      <c r="O4" s="12">
        <f t="shared" si="1"/>
        <v>4.5999999999999996</v>
      </c>
      <c r="P4" s="7">
        <f t="shared" si="2"/>
        <v>2</v>
      </c>
      <c r="Q4" s="7" t="s">
        <v>773</v>
      </c>
      <c r="R4" s="7" t="s">
        <v>774</v>
      </c>
    </row>
    <row r="5" spans="1:18" ht="35.25" customHeight="1">
      <c r="A5" s="7">
        <v>29</v>
      </c>
      <c r="B5" s="7" t="s">
        <v>81</v>
      </c>
      <c r="C5" s="7" t="s">
        <v>775</v>
      </c>
      <c r="D5" s="7" t="s">
        <v>776</v>
      </c>
      <c r="E5" s="7" t="s">
        <v>777</v>
      </c>
      <c r="F5" s="7">
        <v>4</v>
      </c>
      <c r="G5" s="7" t="s">
        <v>778</v>
      </c>
      <c r="H5" s="7" t="s">
        <v>779</v>
      </c>
      <c r="I5" s="7" t="s">
        <v>780</v>
      </c>
      <c r="J5" s="7">
        <v>8</v>
      </c>
      <c r="K5" s="7">
        <v>8</v>
      </c>
      <c r="L5" s="7">
        <v>6</v>
      </c>
      <c r="M5" s="7">
        <v>4</v>
      </c>
      <c r="N5" s="7">
        <f t="shared" si="0"/>
        <v>6.5</v>
      </c>
      <c r="O5" s="12">
        <f t="shared" si="1"/>
        <v>4.4000000000000004</v>
      </c>
      <c r="P5" s="7">
        <f t="shared" si="2"/>
        <v>4</v>
      </c>
      <c r="Q5" s="7" t="s">
        <v>781</v>
      </c>
      <c r="R5" s="7" t="s">
        <v>782</v>
      </c>
    </row>
    <row r="6" spans="1:18" ht="35.25" customHeight="1">
      <c r="A6" s="7">
        <v>1</v>
      </c>
      <c r="B6" s="7" t="s">
        <v>65</v>
      </c>
      <c r="C6" s="7" t="s">
        <v>783</v>
      </c>
      <c r="D6" s="7" t="s">
        <v>784</v>
      </c>
      <c r="E6" s="7" t="s">
        <v>785</v>
      </c>
      <c r="F6" s="7">
        <v>3</v>
      </c>
      <c r="G6" s="7" t="s">
        <v>786</v>
      </c>
      <c r="H6" s="7" t="s">
        <v>787</v>
      </c>
      <c r="I6" s="7" t="s">
        <v>788</v>
      </c>
      <c r="J6" s="7">
        <v>9</v>
      </c>
      <c r="K6" s="7">
        <v>10</v>
      </c>
      <c r="L6" s="7">
        <v>7</v>
      </c>
      <c r="M6" s="7">
        <v>5</v>
      </c>
      <c r="N6" s="7">
        <f t="shared" si="0"/>
        <v>7.75</v>
      </c>
      <c r="O6" s="12">
        <f t="shared" si="1"/>
        <v>4.333333333333333</v>
      </c>
      <c r="P6" s="7">
        <f t="shared" si="2"/>
        <v>5</v>
      </c>
      <c r="Q6" s="7" t="s">
        <v>789</v>
      </c>
      <c r="R6" s="7" t="s">
        <v>790</v>
      </c>
    </row>
    <row r="7" spans="1:18" ht="35.25" customHeight="1">
      <c r="A7" s="7">
        <v>41</v>
      </c>
      <c r="B7" s="7" t="s">
        <v>86</v>
      </c>
      <c r="C7" s="7" t="s">
        <v>791</v>
      </c>
      <c r="D7" s="7" t="s">
        <v>792</v>
      </c>
      <c r="E7" s="7" t="s">
        <v>793</v>
      </c>
      <c r="F7" s="7">
        <v>3</v>
      </c>
      <c r="G7" s="7" t="s">
        <v>794</v>
      </c>
      <c r="H7" s="7" t="s">
        <v>795</v>
      </c>
      <c r="I7" s="7" t="s">
        <v>796</v>
      </c>
      <c r="J7" s="7">
        <v>8</v>
      </c>
      <c r="K7" s="7">
        <v>8</v>
      </c>
      <c r="L7" s="7">
        <v>5</v>
      </c>
      <c r="M7" s="7">
        <v>4</v>
      </c>
      <c r="N7" s="7">
        <f t="shared" si="0"/>
        <v>6.25</v>
      </c>
      <c r="O7" s="12">
        <f t="shared" si="1"/>
        <v>4.2</v>
      </c>
      <c r="P7" s="7">
        <f t="shared" si="2"/>
        <v>6</v>
      </c>
      <c r="Q7" s="7" t="s">
        <v>797</v>
      </c>
      <c r="R7" s="7" t="s">
        <v>798</v>
      </c>
    </row>
    <row r="8" spans="1:18" ht="35.25" customHeight="1">
      <c r="A8" s="7">
        <v>7</v>
      </c>
      <c r="B8" s="7" t="s">
        <v>67</v>
      </c>
      <c r="C8" s="7" t="s">
        <v>91</v>
      </c>
      <c r="D8" s="7" t="s">
        <v>799</v>
      </c>
      <c r="E8" s="7" t="s">
        <v>800</v>
      </c>
      <c r="F8" s="7">
        <v>4</v>
      </c>
      <c r="G8" s="7" t="s">
        <v>801</v>
      </c>
      <c r="H8" s="7" t="s">
        <v>802</v>
      </c>
      <c r="I8" s="7" t="s">
        <v>803</v>
      </c>
      <c r="J8" s="7">
        <v>9</v>
      </c>
      <c r="K8" s="7">
        <v>9</v>
      </c>
      <c r="L8" s="7">
        <v>7</v>
      </c>
      <c r="M8" s="7">
        <v>5</v>
      </c>
      <c r="N8" s="7">
        <f t="shared" si="0"/>
        <v>7.5</v>
      </c>
      <c r="O8" s="12">
        <f t="shared" si="1"/>
        <v>4.166666666666667</v>
      </c>
      <c r="P8" s="7">
        <f t="shared" si="2"/>
        <v>7</v>
      </c>
      <c r="Q8" s="7" t="s">
        <v>804</v>
      </c>
      <c r="R8" s="7" t="s">
        <v>805</v>
      </c>
    </row>
    <row r="9" spans="1:18" ht="35.25" customHeight="1">
      <c r="A9" s="7">
        <v>24</v>
      </c>
      <c r="B9" s="7" t="s">
        <v>77</v>
      </c>
      <c r="C9" s="7" t="s">
        <v>806</v>
      </c>
      <c r="D9" s="7" t="s">
        <v>807</v>
      </c>
      <c r="E9" s="7" t="s">
        <v>808</v>
      </c>
      <c r="F9" s="7">
        <v>4</v>
      </c>
      <c r="G9" s="7" t="s">
        <v>809</v>
      </c>
      <c r="H9" s="7" t="s">
        <v>810</v>
      </c>
      <c r="I9" s="7" t="s">
        <v>811</v>
      </c>
      <c r="J9" s="7">
        <v>8</v>
      </c>
      <c r="K9" s="7">
        <v>9</v>
      </c>
      <c r="L9" s="7">
        <v>7</v>
      </c>
      <c r="M9" s="7">
        <v>5</v>
      </c>
      <c r="N9" s="7">
        <f t="shared" si="0"/>
        <v>7.25</v>
      </c>
      <c r="O9" s="12">
        <f t="shared" si="1"/>
        <v>4</v>
      </c>
      <c r="P9" s="7">
        <f t="shared" si="2"/>
        <v>8</v>
      </c>
      <c r="Q9" s="7" t="s">
        <v>812</v>
      </c>
      <c r="R9" s="7" t="s">
        <v>813</v>
      </c>
    </row>
    <row r="10" spans="1:18" ht="35.25" customHeight="1">
      <c r="A10" s="7">
        <v>39</v>
      </c>
      <c r="B10" s="7" t="s">
        <v>85</v>
      </c>
      <c r="C10" s="7" t="s">
        <v>814</v>
      </c>
      <c r="D10" s="7" t="s">
        <v>815</v>
      </c>
      <c r="E10" s="7" t="s">
        <v>816</v>
      </c>
      <c r="F10" s="7">
        <v>3</v>
      </c>
      <c r="G10" s="7" t="s">
        <v>778</v>
      </c>
      <c r="H10" s="7" t="s">
        <v>817</v>
      </c>
      <c r="I10" s="7" t="s">
        <v>818</v>
      </c>
      <c r="J10" s="7">
        <v>7</v>
      </c>
      <c r="K10" s="7">
        <v>7</v>
      </c>
      <c r="L10" s="7">
        <v>6</v>
      </c>
      <c r="M10" s="7">
        <v>4</v>
      </c>
      <c r="N10" s="7">
        <f t="shared" si="0"/>
        <v>6</v>
      </c>
      <c r="O10" s="12">
        <f t="shared" si="1"/>
        <v>4</v>
      </c>
      <c r="P10" s="7">
        <f t="shared" si="2"/>
        <v>8</v>
      </c>
      <c r="Q10" s="7" t="s">
        <v>819</v>
      </c>
      <c r="R10" s="7" t="s">
        <v>820</v>
      </c>
    </row>
    <row r="11" spans="1:18" ht="35.25" customHeight="1">
      <c r="A11" s="7">
        <v>40</v>
      </c>
      <c r="B11" s="7" t="s">
        <v>85</v>
      </c>
      <c r="C11" s="7" t="s">
        <v>821</v>
      </c>
      <c r="D11" s="7" t="s">
        <v>822</v>
      </c>
      <c r="E11" s="7" t="s">
        <v>823</v>
      </c>
      <c r="F11" s="7">
        <v>4</v>
      </c>
      <c r="G11" s="7" t="s">
        <v>794</v>
      </c>
      <c r="H11" s="7" t="s">
        <v>824</v>
      </c>
      <c r="I11" s="7" t="s">
        <v>825</v>
      </c>
      <c r="J11" s="7">
        <v>8</v>
      </c>
      <c r="K11" s="7">
        <v>9</v>
      </c>
      <c r="L11" s="7">
        <v>7</v>
      </c>
      <c r="M11" s="7">
        <v>5</v>
      </c>
      <c r="N11" s="7">
        <f t="shared" si="0"/>
        <v>7.25</v>
      </c>
      <c r="O11" s="12">
        <f t="shared" si="1"/>
        <v>4</v>
      </c>
      <c r="P11" s="7">
        <f t="shared" si="2"/>
        <v>8</v>
      </c>
      <c r="Q11" s="7" t="s">
        <v>826</v>
      </c>
      <c r="R11" s="7" t="s">
        <v>827</v>
      </c>
    </row>
    <row r="12" spans="1:18" ht="35.25" customHeight="1">
      <c r="A12" s="7">
        <v>5</v>
      </c>
      <c r="B12" s="7" t="s">
        <v>65</v>
      </c>
      <c r="C12" s="7" t="s">
        <v>828</v>
      </c>
      <c r="D12" s="7" t="s">
        <v>829</v>
      </c>
      <c r="E12" s="7" t="s">
        <v>830</v>
      </c>
      <c r="F12" s="7">
        <v>4</v>
      </c>
      <c r="G12" s="7" t="s">
        <v>794</v>
      </c>
      <c r="H12" s="7" t="s">
        <v>831</v>
      </c>
      <c r="I12" s="7" t="s">
        <v>832</v>
      </c>
      <c r="J12" s="7">
        <v>8</v>
      </c>
      <c r="K12" s="7">
        <v>9</v>
      </c>
      <c r="L12" s="7">
        <v>6</v>
      </c>
      <c r="M12" s="7">
        <v>5</v>
      </c>
      <c r="N12" s="7">
        <f t="shared" si="0"/>
        <v>7</v>
      </c>
      <c r="O12" s="12">
        <f t="shared" si="1"/>
        <v>3.8333333333333335</v>
      </c>
      <c r="P12" s="7">
        <f t="shared" si="2"/>
        <v>11</v>
      </c>
      <c r="Q12" s="7" t="s">
        <v>833</v>
      </c>
      <c r="R12" s="7" t="s">
        <v>834</v>
      </c>
    </row>
    <row r="13" spans="1:18" ht="35.25" customHeight="1">
      <c r="A13" s="7">
        <v>16</v>
      </c>
      <c r="B13" s="7" t="s">
        <v>73</v>
      </c>
      <c r="C13" s="7" t="s">
        <v>835</v>
      </c>
      <c r="D13" s="7" t="s">
        <v>836</v>
      </c>
      <c r="E13" s="7" t="s">
        <v>837</v>
      </c>
      <c r="F13" s="7">
        <v>3</v>
      </c>
      <c r="G13" s="7" t="s">
        <v>794</v>
      </c>
      <c r="H13" s="7" t="s">
        <v>838</v>
      </c>
      <c r="I13" s="7" t="s">
        <v>839</v>
      </c>
      <c r="J13" s="7">
        <v>8</v>
      </c>
      <c r="K13" s="7">
        <v>8</v>
      </c>
      <c r="L13" s="7">
        <v>7</v>
      </c>
      <c r="M13" s="7">
        <v>5</v>
      </c>
      <c r="N13" s="7">
        <f t="shared" si="0"/>
        <v>7</v>
      </c>
      <c r="O13" s="12">
        <f t="shared" si="1"/>
        <v>3.8333333333333335</v>
      </c>
      <c r="P13" s="7">
        <f t="shared" si="2"/>
        <v>11</v>
      </c>
      <c r="Q13" s="7" t="s">
        <v>840</v>
      </c>
      <c r="R13" s="7" t="s">
        <v>841</v>
      </c>
    </row>
    <row r="14" spans="1:18" ht="35.25" customHeight="1">
      <c r="A14" s="7">
        <v>21</v>
      </c>
      <c r="B14" s="7" t="s">
        <v>75</v>
      </c>
      <c r="C14" s="7" t="s">
        <v>842</v>
      </c>
      <c r="D14" s="7" t="s">
        <v>843</v>
      </c>
      <c r="E14" s="7" t="s">
        <v>844</v>
      </c>
      <c r="F14" s="7">
        <v>4</v>
      </c>
      <c r="G14" s="7" t="s">
        <v>794</v>
      </c>
      <c r="H14" s="7" t="s">
        <v>845</v>
      </c>
      <c r="I14" s="7" t="s">
        <v>846</v>
      </c>
      <c r="J14" s="7">
        <v>8</v>
      </c>
      <c r="K14" s="7">
        <v>8</v>
      </c>
      <c r="L14" s="7">
        <v>7</v>
      </c>
      <c r="M14" s="7">
        <v>5</v>
      </c>
      <c r="N14" s="7">
        <f t="shared" si="0"/>
        <v>7</v>
      </c>
      <c r="O14" s="12">
        <f t="shared" si="1"/>
        <v>3.8333333333333335</v>
      </c>
      <c r="P14" s="7">
        <f t="shared" si="2"/>
        <v>11</v>
      </c>
      <c r="Q14" s="7" t="s">
        <v>847</v>
      </c>
      <c r="R14" s="7" t="s">
        <v>848</v>
      </c>
    </row>
    <row r="15" spans="1:18" ht="35.25" customHeight="1">
      <c r="A15" s="7">
        <v>23</v>
      </c>
      <c r="B15" s="7" t="s">
        <v>75</v>
      </c>
      <c r="C15" s="7" t="s">
        <v>849</v>
      </c>
      <c r="D15" s="7" t="s">
        <v>850</v>
      </c>
      <c r="E15" s="7" t="s">
        <v>851</v>
      </c>
      <c r="F15" s="7">
        <v>4</v>
      </c>
      <c r="G15" s="7" t="s">
        <v>794</v>
      </c>
      <c r="H15" s="7" t="s">
        <v>852</v>
      </c>
      <c r="I15" s="7" t="s">
        <v>853</v>
      </c>
      <c r="J15" s="7">
        <v>8</v>
      </c>
      <c r="K15" s="7">
        <v>9</v>
      </c>
      <c r="L15" s="7">
        <v>6</v>
      </c>
      <c r="M15" s="7">
        <v>5</v>
      </c>
      <c r="N15" s="7">
        <f t="shared" si="0"/>
        <v>7</v>
      </c>
      <c r="O15" s="12">
        <f t="shared" si="1"/>
        <v>3.8333333333333335</v>
      </c>
      <c r="P15" s="7">
        <f t="shared" si="2"/>
        <v>11</v>
      </c>
      <c r="Q15" s="7" t="s">
        <v>854</v>
      </c>
      <c r="R15" s="7" t="s">
        <v>855</v>
      </c>
    </row>
    <row r="16" spans="1:18" ht="35.25" customHeight="1">
      <c r="A16" s="7">
        <v>25</v>
      </c>
      <c r="B16" s="7" t="s">
        <v>77</v>
      </c>
      <c r="C16" s="7" t="s">
        <v>856</v>
      </c>
      <c r="D16" s="7" t="s">
        <v>857</v>
      </c>
      <c r="E16" s="7" t="s">
        <v>858</v>
      </c>
      <c r="F16" s="7">
        <v>3</v>
      </c>
      <c r="G16" s="7" t="s">
        <v>859</v>
      </c>
      <c r="H16" s="7" t="s">
        <v>860</v>
      </c>
      <c r="I16" s="7" t="s">
        <v>861</v>
      </c>
      <c r="J16" s="7">
        <v>8</v>
      </c>
      <c r="K16" s="7">
        <v>8</v>
      </c>
      <c r="L16" s="7">
        <v>7</v>
      </c>
      <c r="M16" s="7">
        <v>5</v>
      </c>
      <c r="N16" s="7">
        <f t="shared" si="0"/>
        <v>7</v>
      </c>
      <c r="O16" s="12">
        <f t="shared" si="1"/>
        <v>3.8333333333333335</v>
      </c>
      <c r="P16" s="7">
        <f t="shared" si="2"/>
        <v>11</v>
      </c>
      <c r="Q16" s="7" t="s">
        <v>862</v>
      </c>
      <c r="R16" s="7" t="s">
        <v>863</v>
      </c>
    </row>
    <row r="17" spans="1:18" ht="35.25" customHeight="1">
      <c r="A17" s="7">
        <v>31</v>
      </c>
      <c r="B17" s="7" t="s">
        <v>82</v>
      </c>
      <c r="C17" s="7" t="s">
        <v>864</v>
      </c>
      <c r="D17" s="7" t="s">
        <v>865</v>
      </c>
      <c r="E17" s="7" t="s">
        <v>866</v>
      </c>
      <c r="F17" s="7">
        <v>3</v>
      </c>
      <c r="G17" s="7" t="s">
        <v>794</v>
      </c>
      <c r="H17" s="7" t="s">
        <v>867</v>
      </c>
      <c r="I17" s="7" t="s">
        <v>868</v>
      </c>
      <c r="J17" s="7">
        <v>8</v>
      </c>
      <c r="K17" s="7">
        <v>9</v>
      </c>
      <c r="L17" s="7">
        <v>6</v>
      </c>
      <c r="M17" s="7">
        <v>5</v>
      </c>
      <c r="N17" s="7">
        <f t="shared" si="0"/>
        <v>7</v>
      </c>
      <c r="O17" s="12">
        <f t="shared" si="1"/>
        <v>3.8333333333333335</v>
      </c>
      <c r="P17" s="7">
        <f t="shared" si="2"/>
        <v>11</v>
      </c>
      <c r="Q17" s="7" t="s">
        <v>869</v>
      </c>
      <c r="R17" s="7" t="s">
        <v>870</v>
      </c>
    </row>
    <row r="18" spans="1:18" ht="35.25" customHeight="1">
      <c r="A18" s="7">
        <v>8</v>
      </c>
      <c r="B18" s="7" t="s">
        <v>67</v>
      </c>
      <c r="C18" s="7" t="s">
        <v>871</v>
      </c>
      <c r="D18" s="7" t="s">
        <v>872</v>
      </c>
      <c r="E18" s="7" t="s">
        <v>873</v>
      </c>
      <c r="F18" s="7">
        <v>3</v>
      </c>
      <c r="G18" s="7" t="s">
        <v>778</v>
      </c>
      <c r="H18" s="7" t="s">
        <v>874</v>
      </c>
      <c r="I18" s="7" t="s">
        <v>875</v>
      </c>
      <c r="J18" s="7">
        <v>7</v>
      </c>
      <c r="K18" s="7">
        <v>7</v>
      </c>
      <c r="L18" s="7">
        <v>8</v>
      </c>
      <c r="M18" s="7">
        <v>5</v>
      </c>
      <c r="N18" s="7">
        <f t="shared" si="0"/>
        <v>6.75</v>
      </c>
      <c r="O18" s="12">
        <f t="shared" si="1"/>
        <v>3.6666666666666665</v>
      </c>
      <c r="P18" s="7">
        <f t="shared" si="2"/>
        <v>17</v>
      </c>
      <c r="Q18" s="7" t="s">
        <v>876</v>
      </c>
      <c r="R18" s="7" t="s">
        <v>877</v>
      </c>
    </row>
    <row r="19" spans="1:18" ht="35.25" customHeight="1">
      <c r="A19" s="7">
        <v>11</v>
      </c>
      <c r="B19" s="7" t="s">
        <v>69</v>
      </c>
      <c r="C19" s="7" t="s">
        <v>878</v>
      </c>
      <c r="D19" s="7" t="s">
        <v>879</v>
      </c>
      <c r="E19" s="7" t="s">
        <v>880</v>
      </c>
      <c r="F19" s="7">
        <v>3</v>
      </c>
      <c r="G19" s="7" t="s">
        <v>778</v>
      </c>
      <c r="H19" s="7" t="s">
        <v>881</v>
      </c>
      <c r="I19" s="7" t="s">
        <v>882</v>
      </c>
      <c r="J19" s="7">
        <v>7</v>
      </c>
      <c r="K19" s="7">
        <v>7</v>
      </c>
      <c r="L19" s="7">
        <v>8</v>
      </c>
      <c r="M19" s="7">
        <v>5</v>
      </c>
      <c r="N19" s="7">
        <f t="shared" si="0"/>
        <v>6.75</v>
      </c>
      <c r="O19" s="12">
        <f t="shared" si="1"/>
        <v>3.6666666666666665</v>
      </c>
      <c r="P19" s="7">
        <f t="shared" si="2"/>
        <v>17</v>
      </c>
      <c r="Q19" s="7" t="s">
        <v>883</v>
      </c>
      <c r="R19" s="7" t="s">
        <v>884</v>
      </c>
    </row>
    <row r="20" spans="1:18" ht="35.25" customHeight="1">
      <c r="A20" s="7">
        <v>14</v>
      </c>
      <c r="B20" s="7" t="s">
        <v>71</v>
      </c>
      <c r="C20" s="7" t="s">
        <v>885</v>
      </c>
      <c r="D20" s="7" t="s">
        <v>886</v>
      </c>
      <c r="E20" s="7" t="s">
        <v>887</v>
      </c>
      <c r="F20" s="7">
        <v>3</v>
      </c>
      <c r="G20" s="7" t="s">
        <v>794</v>
      </c>
      <c r="H20" s="7" t="s">
        <v>888</v>
      </c>
      <c r="I20" s="7" t="s">
        <v>889</v>
      </c>
      <c r="J20" s="7">
        <v>8</v>
      </c>
      <c r="K20" s="7">
        <v>8</v>
      </c>
      <c r="L20" s="7">
        <v>6</v>
      </c>
      <c r="M20" s="7">
        <v>5</v>
      </c>
      <c r="N20" s="7">
        <f t="shared" si="0"/>
        <v>6.75</v>
      </c>
      <c r="O20" s="12">
        <f t="shared" si="1"/>
        <v>3.6666666666666665</v>
      </c>
      <c r="P20" s="7">
        <f t="shared" si="2"/>
        <v>17</v>
      </c>
      <c r="Q20" s="7" t="s">
        <v>890</v>
      </c>
      <c r="R20" s="7" t="s">
        <v>891</v>
      </c>
    </row>
    <row r="21" spans="1:18" ht="35.25" customHeight="1">
      <c r="A21" s="7">
        <v>22</v>
      </c>
      <c r="B21" s="7" t="s">
        <v>75</v>
      </c>
      <c r="C21" s="7" t="s">
        <v>892</v>
      </c>
      <c r="D21" s="7" t="s">
        <v>893</v>
      </c>
      <c r="E21" s="7" t="s">
        <v>894</v>
      </c>
      <c r="F21" s="7">
        <v>3</v>
      </c>
      <c r="G21" s="7" t="s">
        <v>895</v>
      </c>
      <c r="H21" s="7" t="s">
        <v>896</v>
      </c>
      <c r="I21" s="7" t="s">
        <v>897</v>
      </c>
      <c r="J21" s="7">
        <v>7</v>
      </c>
      <c r="K21" s="7">
        <v>8</v>
      </c>
      <c r="L21" s="7">
        <v>7</v>
      </c>
      <c r="M21" s="7">
        <v>5</v>
      </c>
      <c r="N21" s="7">
        <f t="shared" si="0"/>
        <v>6.75</v>
      </c>
      <c r="O21" s="12">
        <f t="shared" si="1"/>
        <v>3.6666666666666665</v>
      </c>
      <c r="P21" s="7">
        <f t="shared" si="2"/>
        <v>17</v>
      </c>
      <c r="Q21" s="7" t="s">
        <v>898</v>
      </c>
      <c r="R21" s="7" t="s">
        <v>899</v>
      </c>
    </row>
    <row r="22" spans="1:18" ht="35.25" customHeight="1">
      <c r="A22" s="7">
        <v>26</v>
      </c>
      <c r="B22" s="7" t="s">
        <v>77</v>
      </c>
      <c r="C22" s="7" t="s">
        <v>900</v>
      </c>
      <c r="D22" s="7" t="s">
        <v>901</v>
      </c>
      <c r="E22" s="7" t="s">
        <v>902</v>
      </c>
      <c r="F22" s="7">
        <v>3</v>
      </c>
      <c r="G22" s="7" t="s">
        <v>778</v>
      </c>
      <c r="H22" s="7" t="s">
        <v>903</v>
      </c>
      <c r="I22" s="7" t="s">
        <v>904</v>
      </c>
      <c r="J22" s="7">
        <v>7</v>
      </c>
      <c r="K22" s="7">
        <v>7</v>
      </c>
      <c r="L22" s="7">
        <v>8</v>
      </c>
      <c r="M22" s="7">
        <v>5</v>
      </c>
      <c r="N22" s="7">
        <f t="shared" si="0"/>
        <v>6.75</v>
      </c>
      <c r="O22" s="12">
        <f t="shared" si="1"/>
        <v>3.6666666666666665</v>
      </c>
      <c r="P22" s="7">
        <f t="shared" si="2"/>
        <v>17</v>
      </c>
      <c r="Q22" s="7" t="s">
        <v>905</v>
      </c>
      <c r="R22" s="7" t="s">
        <v>906</v>
      </c>
    </row>
    <row r="23" spans="1:18" ht="35.25" customHeight="1">
      <c r="A23" s="7">
        <v>30</v>
      </c>
      <c r="B23" s="7" t="s">
        <v>81</v>
      </c>
      <c r="C23" s="7" t="s">
        <v>907</v>
      </c>
      <c r="D23" s="7" t="s">
        <v>908</v>
      </c>
      <c r="E23" s="7" t="s">
        <v>909</v>
      </c>
      <c r="F23" s="7">
        <v>3</v>
      </c>
      <c r="G23" s="7" t="s">
        <v>794</v>
      </c>
      <c r="H23" s="7" t="s">
        <v>910</v>
      </c>
      <c r="I23" s="7" t="s">
        <v>911</v>
      </c>
      <c r="J23" s="7">
        <v>7</v>
      </c>
      <c r="K23" s="7">
        <v>8</v>
      </c>
      <c r="L23" s="7">
        <v>7</v>
      </c>
      <c r="M23" s="7">
        <v>5</v>
      </c>
      <c r="N23" s="7">
        <f t="shared" si="0"/>
        <v>6.75</v>
      </c>
      <c r="O23" s="12">
        <f t="shared" si="1"/>
        <v>3.6666666666666665</v>
      </c>
      <c r="P23" s="7">
        <f t="shared" si="2"/>
        <v>17</v>
      </c>
      <c r="Q23" s="7" t="s">
        <v>912</v>
      </c>
      <c r="R23" s="7" t="s">
        <v>913</v>
      </c>
    </row>
    <row r="24" spans="1:18" ht="35.25" customHeight="1">
      <c r="A24" s="7">
        <v>37</v>
      </c>
      <c r="B24" s="7" t="s">
        <v>84</v>
      </c>
      <c r="C24" s="7" t="s">
        <v>914</v>
      </c>
      <c r="D24" s="7" t="s">
        <v>915</v>
      </c>
      <c r="E24" s="7" t="s">
        <v>916</v>
      </c>
      <c r="F24" s="7">
        <v>3</v>
      </c>
      <c r="G24" s="7" t="s">
        <v>778</v>
      </c>
      <c r="H24" s="7" t="s">
        <v>917</v>
      </c>
      <c r="I24" s="7" t="s">
        <v>918</v>
      </c>
      <c r="J24" s="7">
        <v>7</v>
      </c>
      <c r="K24" s="7">
        <v>7</v>
      </c>
      <c r="L24" s="7">
        <v>8</v>
      </c>
      <c r="M24" s="7">
        <v>5</v>
      </c>
      <c r="N24" s="7">
        <f t="shared" si="0"/>
        <v>6.75</v>
      </c>
      <c r="O24" s="12">
        <f t="shared" si="1"/>
        <v>3.6666666666666665</v>
      </c>
      <c r="P24" s="7">
        <f t="shared" si="2"/>
        <v>17</v>
      </c>
      <c r="Q24" s="7" t="s">
        <v>919</v>
      </c>
      <c r="R24" s="7" t="s">
        <v>920</v>
      </c>
    </row>
    <row r="25" spans="1:18" ht="35.25" customHeight="1">
      <c r="A25" s="7">
        <v>50</v>
      </c>
      <c r="B25" s="7" t="s">
        <v>90</v>
      </c>
      <c r="C25" s="7" t="s">
        <v>921</v>
      </c>
      <c r="D25" s="7" t="s">
        <v>922</v>
      </c>
      <c r="E25" s="7" t="s">
        <v>923</v>
      </c>
      <c r="F25" s="7">
        <v>4</v>
      </c>
      <c r="G25" s="7" t="s">
        <v>794</v>
      </c>
      <c r="H25" s="7" t="s">
        <v>924</v>
      </c>
      <c r="I25" s="7" t="s">
        <v>925</v>
      </c>
      <c r="J25" s="7">
        <v>8</v>
      </c>
      <c r="K25" s="7">
        <v>9</v>
      </c>
      <c r="L25" s="7">
        <v>5</v>
      </c>
      <c r="M25" s="7">
        <v>5</v>
      </c>
      <c r="N25" s="7">
        <f t="shared" si="0"/>
        <v>6.75</v>
      </c>
      <c r="O25" s="12">
        <f t="shared" si="1"/>
        <v>3.6666666666666665</v>
      </c>
      <c r="P25" s="7">
        <f t="shared" si="2"/>
        <v>17</v>
      </c>
      <c r="Q25" s="7" t="s">
        <v>812</v>
      </c>
      <c r="R25" s="7" t="s">
        <v>926</v>
      </c>
    </row>
    <row r="26" spans="1:18" ht="35.25" customHeight="1">
      <c r="A26" s="7">
        <v>33</v>
      </c>
      <c r="B26" s="7" t="s">
        <v>82</v>
      </c>
      <c r="C26" s="7" t="s">
        <v>927</v>
      </c>
      <c r="D26" s="7" t="s">
        <v>928</v>
      </c>
      <c r="E26" s="7" t="s">
        <v>929</v>
      </c>
      <c r="F26" s="7">
        <v>3</v>
      </c>
      <c r="G26" s="7" t="s">
        <v>809</v>
      </c>
      <c r="H26" s="7" t="s">
        <v>930</v>
      </c>
      <c r="I26" s="7" t="s">
        <v>931</v>
      </c>
      <c r="J26" s="7">
        <v>7</v>
      </c>
      <c r="K26" s="7">
        <v>8</v>
      </c>
      <c r="L26" s="7">
        <v>6</v>
      </c>
      <c r="M26" s="7">
        <v>5</v>
      </c>
      <c r="N26" s="7">
        <f t="shared" si="0"/>
        <v>6.5</v>
      </c>
      <c r="O26" s="12">
        <f t="shared" si="1"/>
        <v>3.5</v>
      </c>
      <c r="P26" s="7">
        <f t="shared" si="2"/>
        <v>25</v>
      </c>
      <c r="Q26" s="7" t="s">
        <v>932</v>
      </c>
      <c r="R26" s="7" t="s">
        <v>933</v>
      </c>
    </row>
    <row r="27" spans="1:18" ht="35.25" customHeight="1">
      <c r="A27" s="7">
        <v>38</v>
      </c>
      <c r="B27" s="7" t="s">
        <v>84</v>
      </c>
      <c r="C27" s="7" t="s">
        <v>934</v>
      </c>
      <c r="D27" s="7" t="s">
        <v>935</v>
      </c>
      <c r="E27" s="7" t="s">
        <v>936</v>
      </c>
      <c r="F27" s="7">
        <v>3</v>
      </c>
      <c r="G27" s="7" t="s">
        <v>778</v>
      </c>
      <c r="H27" s="7" t="s">
        <v>937</v>
      </c>
      <c r="I27" s="7" t="s">
        <v>938</v>
      </c>
      <c r="J27" s="7">
        <v>8</v>
      </c>
      <c r="K27" s="7">
        <v>7</v>
      </c>
      <c r="L27" s="7">
        <v>6</v>
      </c>
      <c r="M27" s="7">
        <v>5</v>
      </c>
      <c r="N27" s="7">
        <f t="shared" si="0"/>
        <v>6.5</v>
      </c>
      <c r="O27" s="12">
        <f t="shared" si="1"/>
        <v>3.5</v>
      </c>
      <c r="P27" s="7">
        <f t="shared" si="2"/>
        <v>25</v>
      </c>
      <c r="Q27" s="7" t="s">
        <v>939</v>
      </c>
      <c r="R27" s="7" t="s">
        <v>940</v>
      </c>
    </row>
    <row r="28" spans="1:18" ht="35.25" customHeight="1">
      <c r="A28" s="7">
        <v>42</v>
      </c>
      <c r="B28" s="7" t="s">
        <v>86</v>
      </c>
      <c r="C28" s="7" t="s">
        <v>941</v>
      </c>
      <c r="D28" s="7" t="s">
        <v>942</v>
      </c>
      <c r="E28" s="7" t="s">
        <v>943</v>
      </c>
      <c r="F28" s="7">
        <v>3</v>
      </c>
      <c r="G28" s="7" t="s">
        <v>794</v>
      </c>
      <c r="H28" s="7" t="s">
        <v>944</v>
      </c>
      <c r="I28" s="7" t="s">
        <v>945</v>
      </c>
      <c r="J28" s="7">
        <v>7</v>
      </c>
      <c r="K28" s="7">
        <v>7</v>
      </c>
      <c r="L28" s="7">
        <v>7</v>
      </c>
      <c r="M28" s="7">
        <v>5</v>
      </c>
      <c r="N28" s="7">
        <f t="shared" si="0"/>
        <v>6.5</v>
      </c>
      <c r="O28" s="12">
        <f t="shared" si="1"/>
        <v>3.5</v>
      </c>
      <c r="P28" s="7">
        <f t="shared" si="2"/>
        <v>25</v>
      </c>
      <c r="Q28" s="7" t="s">
        <v>946</v>
      </c>
      <c r="R28" s="7" t="s">
        <v>947</v>
      </c>
    </row>
    <row r="29" spans="1:18" ht="35.25" customHeight="1">
      <c r="A29" s="7">
        <v>43</v>
      </c>
      <c r="B29" s="7" t="s">
        <v>86</v>
      </c>
      <c r="C29" s="7" t="s">
        <v>948</v>
      </c>
      <c r="D29" s="7" t="s">
        <v>949</v>
      </c>
      <c r="E29" s="7" t="s">
        <v>950</v>
      </c>
      <c r="F29" s="7">
        <v>3</v>
      </c>
      <c r="G29" s="7" t="s">
        <v>794</v>
      </c>
      <c r="H29" s="7" t="s">
        <v>951</v>
      </c>
      <c r="I29" s="7" t="s">
        <v>952</v>
      </c>
      <c r="J29" s="7">
        <v>8</v>
      </c>
      <c r="K29" s="7">
        <v>8</v>
      </c>
      <c r="L29" s="7">
        <v>5</v>
      </c>
      <c r="M29" s="7">
        <v>5</v>
      </c>
      <c r="N29" s="7">
        <f t="shared" si="0"/>
        <v>6.5</v>
      </c>
      <c r="O29" s="12">
        <f t="shared" si="1"/>
        <v>3.5</v>
      </c>
      <c r="P29" s="7">
        <f t="shared" si="2"/>
        <v>25</v>
      </c>
      <c r="Q29" s="7" t="s">
        <v>946</v>
      </c>
      <c r="R29" s="7" t="s">
        <v>953</v>
      </c>
    </row>
    <row r="30" spans="1:18" ht="35.25" customHeight="1">
      <c r="A30" s="7">
        <v>4</v>
      </c>
      <c r="B30" s="7" t="s">
        <v>65</v>
      </c>
      <c r="C30" s="7" t="s">
        <v>954</v>
      </c>
      <c r="D30" s="7" t="s">
        <v>955</v>
      </c>
      <c r="E30" s="7" t="s">
        <v>956</v>
      </c>
      <c r="F30" s="7">
        <v>4</v>
      </c>
      <c r="G30" s="7" t="s">
        <v>957</v>
      </c>
      <c r="H30" s="7" t="s">
        <v>958</v>
      </c>
      <c r="I30" s="7" t="s">
        <v>959</v>
      </c>
      <c r="J30" s="7">
        <v>9</v>
      </c>
      <c r="K30" s="7">
        <v>9</v>
      </c>
      <c r="L30" s="7">
        <v>7</v>
      </c>
      <c r="M30" s="7">
        <v>6</v>
      </c>
      <c r="N30" s="7">
        <f t="shared" si="0"/>
        <v>7.75</v>
      </c>
      <c r="O30" s="12">
        <f t="shared" si="1"/>
        <v>3.3333333333333335</v>
      </c>
      <c r="P30" s="7">
        <f t="shared" si="2"/>
        <v>29</v>
      </c>
      <c r="Q30" s="7" t="s">
        <v>960</v>
      </c>
      <c r="R30" s="7" t="s">
        <v>961</v>
      </c>
    </row>
    <row r="31" spans="1:18" ht="35.25" customHeight="1">
      <c r="A31" s="7">
        <v>2</v>
      </c>
      <c r="B31" s="7" t="s">
        <v>65</v>
      </c>
      <c r="C31" s="7" t="s">
        <v>962</v>
      </c>
      <c r="D31" s="7" t="s">
        <v>963</v>
      </c>
      <c r="E31" s="7" t="s">
        <v>964</v>
      </c>
      <c r="F31" s="7">
        <v>4</v>
      </c>
      <c r="G31" s="7" t="s">
        <v>794</v>
      </c>
      <c r="H31" s="7" t="s">
        <v>965</v>
      </c>
      <c r="I31" s="7" t="s">
        <v>966</v>
      </c>
      <c r="J31" s="7">
        <v>9</v>
      </c>
      <c r="K31" s="7">
        <v>9</v>
      </c>
      <c r="L31" s="7">
        <v>6</v>
      </c>
      <c r="M31" s="7">
        <v>6</v>
      </c>
      <c r="N31" s="7">
        <f t="shared" si="0"/>
        <v>7.5</v>
      </c>
      <c r="O31" s="12">
        <f t="shared" si="1"/>
        <v>3.2</v>
      </c>
      <c r="P31" s="7">
        <f t="shared" si="2"/>
        <v>30</v>
      </c>
      <c r="Q31" s="7" t="s">
        <v>967</v>
      </c>
      <c r="R31" s="7" t="s">
        <v>968</v>
      </c>
    </row>
    <row r="32" spans="1:18" ht="35.25" customHeight="1">
      <c r="A32" s="7">
        <v>6</v>
      </c>
      <c r="B32" s="7" t="s">
        <v>67</v>
      </c>
      <c r="C32" s="7" t="s">
        <v>969</v>
      </c>
      <c r="D32" s="7" t="s">
        <v>970</v>
      </c>
      <c r="E32" s="7" t="s">
        <v>971</v>
      </c>
      <c r="F32" s="7">
        <v>3</v>
      </c>
      <c r="G32" s="7" t="s">
        <v>972</v>
      </c>
      <c r="H32" s="7" t="s">
        <v>973</v>
      </c>
      <c r="I32" s="7" t="s">
        <v>974</v>
      </c>
      <c r="J32" s="7">
        <v>8</v>
      </c>
      <c r="K32" s="7">
        <v>7</v>
      </c>
      <c r="L32" s="7">
        <v>8</v>
      </c>
      <c r="M32" s="7">
        <v>6</v>
      </c>
      <c r="N32" s="7">
        <f t="shared" si="0"/>
        <v>7.25</v>
      </c>
      <c r="O32" s="12">
        <f t="shared" si="1"/>
        <v>3.0666666666666669</v>
      </c>
      <c r="P32" s="7">
        <f t="shared" si="2"/>
        <v>31</v>
      </c>
      <c r="Q32" s="7" t="s">
        <v>975</v>
      </c>
      <c r="R32" s="7" t="s">
        <v>976</v>
      </c>
    </row>
    <row r="33" spans="1:18" ht="35.25" customHeight="1">
      <c r="A33" s="7">
        <v>12</v>
      </c>
      <c r="B33" s="7" t="s">
        <v>69</v>
      </c>
      <c r="C33" s="7" t="s">
        <v>977</v>
      </c>
      <c r="D33" s="7" t="s">
        <v>978</v>
      </c>
      <c r="E33" s="7" t="s">
        <v>979</v>
      </c>
      <c r="F33" s="7">
        <v>4</v>
      </c>
      <c r="G33" s="7" t="s">
        <v>980</v>
      </c>
      <c r="H33" s="7" t="s">
        <v>981</v>
      </c>
      <c r="I33" s="7" t="s">
        <v>982</v>
      </c>
      <c r="J33" s="7">
        <v>8</v>
      </c>
      <c r="K33" s="7">
        <v>8</v>
      </c>
      <c r="L33" s="7">
        <v>7</v>
      </c>
      <c r="M33" s="7">
        <v>6</v>
      </c>
      <c r="N33" s="7">
        <f t="shared" si="0"/>
        <v>7.25</v>
      </c>
      <c r="O33" s="12">
        <f t="shared" si="1"/>
        <v>3.0666666666666669</v>
      </c>
      <c r="P33" s="7">
        <f t="shared" si="2"/>
        <v>31</v>
      </c>
      <c r="Q33" s="7" t="s">
        <v>983</v>
      </c>
      <c r="R33" s="7" t="s">
        <v>984</v>
      </c>
    </row>
    <row r="34" spans="1:18" ht="35.25" customHeight="1">
      <c r="A34" s="7">
        <v>15</v>
      </c>
      <c r="B34" s="7" t="s">
        <v>71</v>
      </c>
      <c r="C34" s="7" t="s">
        <v>985</v>
      </c>
      <c r="D34" s="7" t="s">
        <v>986</v>
      </c>
      <c r="E34" s="7" t="s">
        <v>987</v>
      </c>
      <c r="F34" s="7">
        <v>4</v>
      </c>
      <c r="G34" s="7" t="s">
        <v>809</v>
      </c>
      <c r="H34" s="7" t="s">
        <v>988</v>
      </c>
      <c r="I34" s="7" t="s">
        <v>989</v>
      </c>
      <c r="J34" s="7">
        <v>8</v>
      </c>
      <c r="K34" s="7">
        <v>8</v>
      </c>
      <c r="L34" s="7">
        <v>7</v>
      </c>
      <c r="M34" s="7">
        <v>6</v>
      </c>
      <c r="N34" s="7">
        <f t="shared" ref="N34:N51" si="3">AVERAGE(J34:M34)</f>
        <v>7.25</v>
      </c>
      <c r="O34" s="12">
        <f t="shared" ref="O34:O51" si="4">(J34+K34+L34)*(10-M34)/30</f>
        <v>3.0666666666666669</v>
      </c>
      <c r="P34" s="7">
        <f t="shared" ref="P34:P51" si="5">RANK(O34,$O$2:$O$51,0)</f>
        <v>31</v>
      </c>
      <c r="Q34" s="7" t="s">
        <v>990</v>
      </c>
      <c r="R34" s="7" t="s">
        <v>991</v>
      </c>
    </row>
    <row r="35" spans="1:18" ht="35.25" customHeight="1">
      <c r="A35" s="7">
        <v>17</v>
      </c>
      <c r="B35" s="7" t="s">
        <v>73</v>
      </c>
      <c r="C35" s="7" t="s">
        <v>992</v>
      </c>
      <c r="D35" s="7" t="s">
        <v>993</v>
      </c>
      <c r="E35" s="7" t="s">
        <v>994</v>
      </c>
      <c r="F35" s="7">
        <v>4</v>
      </c>
      <c r="G35" s="7" t="s">
        <v>794</v>
      </c>
      <c r="H35" s="7" t="s">
        <v>995</v>
      </c>
      <c r="I35" s="7" t="s">
        <v>996</v>
      </c>
      <c r="J35" s="7">
        <v>8</v>
      </c>
      <c r="K35" s="7">
        <v>9</v>
      </c>
      <c r="L35" s="7">
        <v>6</v>
      </c>
      <c r="M35" s="7">
        <v>6</v>
      </c>
      <c r="N35" s="7">
        <f t="shared" si="3"/>
        <v>7.25</v>
      </c>
      <c r="O35" s="12">
        <f t="shared" si="4"/>
        <v>3.0666666666666669</v>
      </c>
      <c r="P35" s="7">
        <f t="shared" si="5"/>
        <v>31</v>
      </c>
      <c r="Q35" s="7" t="s">
        <v>997</v>
      </c>
      <c r="R35" s="7" t="s">
        <v>998</v>
      </c>
    </row>
    <row r="36" spans="1:18" ht="35.25" customHeight="1">
      <c r="A36" s="7">
        <v>18</v>
      </c>
      <c r="B36" s="7" t="s">
        <v>73</v>
      </c>
      <c r="C36" s="7" t="s">
        <v>999</v>
      </c>
      <c r="D36" s="7" t="s">
        <v>1000</v>
      </c>
      <c r="E36" s="7" t="s">
        <v>1001</v>
      </c>
      <c r="F36" s="7">
        <v>3</v>
      </c>
      <c r="G36" s="7" t="s">
        <v>794</v>
      </c>
      <c r="H36" s="7" t="s">
        <v>1002</v>
      </c>
      <c r="I36" s="7" t="s">
        <v>1003</v>
      </c>
      <c r="J36" s="7">
        <v>8</v>
      </c>
      <c r="K36" s="7">
        <v>8</v>
      </c>
      <c r="L36" s="7">
        <v>7</v>
      </c>
      <c r="M36" s="7">
        <v>6</v>
      </c>
      <c r="N36" s="7">
        <f t="shared" si="3"/>
        <v>7.25</v>
      </c>
      <c r="O36" s="12">
        <f t="shared" si="4"/>
        <v>3.0666666666666669</v>
      </c>
      <c r="P36" s="7">
        <f t="shared" si="5"/>
        <v>31</v>
      </c>
      <c r="Q36" s="7" t="s">
        <v>1004</v>
      </c>
      <c r="R36" s="7" t="s">
        <v>1005</v>
      </c>
    </row>
    <row r="37" spans="1:18" ht="35.25" customHeight="1">
      <c r="A37" s="7">
        <v>32</v>
      </c>
      <c r="B37" s="7" t="s">
        <v>82</v>
      </c>
      <c r="C37" s="7" t="s">
        <v>1006</v>
      </c>
      <c r="D37" s="7" t="s">
        <v>1007</v>
      </c>
      <c r="E37" s="7" t="s">
        <v>1008</v>
      </c>
      <c r="F37" s="7">
        <v>3</v>
      </c>
      <c r="G37" s="7" t="s">
        <v>778</v>
      </c>
      <c r="H37" s="7" t="s">
        <v>1009</v>
      </c>
      <c r="I37" s="7" t="s">
        <v>1010</v>
      </c>
      <c r="J37" s="7">
        <v>7</v>
      </c>
      <c r="K37" s="7">
        <v>8</v>
      </c>
      <c r="L37" s="7">
        <v>8</v>
      </c>
      <c r="M37" s="7">
        <v>6</v>
      </c>
      <c r="N37" s="7">
        <f t="shared" si="3"/>
        <v>7.25</v>
      </c>
      <c r="O37" s="12">
        <f t="shared" si="4"/>
        <v>3.0666666666666669</v>
      </c>
      <c r="P37" s="7">
        <f t="shared" si="5"/>
        <v>31</v>
      </c>
      <c r="Q37" s="7" t="s">
        <v>1011</v>
      </c>
      <c r="R37" s="7" t="s">
        <v>1012</v>
      </c>
    </row>
    <row r="38" spans="1:18" ht="35.25" customHeight="1">
      <c r="A38" s="7">
        <v>35</v>
      </c>
      <c r="B38" s="7" t="s">
        <v>83</v>
      </c>
      <c r="C38" s="7" t="s">
        <v>1013</v>
      </c>
      <c r="D38" s="7" t="s">
        <v>1014</v>
      </c>
      <c r="E38" s="7" t="s">
        <v>1015</v>
      </c>
      <c r="F38" s="7">
        <v>3</v>
      </c>
      <c r="G38" s="7" t="s">
        <v>794</v>
      </c>
      <c r="H38" s="7" t="s">
        <v>1016</v>
      </c>
      <c r="I38" s="7" t="s">
        <v>1017</v>
      </c>
      <c r="J38" s="7">
        <v>7</v>
      </c>
      <c r="K38" s="7">
        <v>7</v>
      </c>
      <c r="L38" s="7">
        <v>8</v>
      </c>
      <c r="M38" s="7">
        <v>6</v>
      </c>
      <c r="N38" s="7">
        <f t="shared" si="3"/>
        <v>7</v>
      </c>
      <c r="O38" s="12">
        <f t="shared" si="4"/>
        <v>2.9333333333333331</v>
      </c>
      <c r="P38" s="7">
        <f t="shared" si="5"/>
        <v>37</v>
      </c>
      <c r="Q38" s="7" t="s">
        <v>1018</v>
      </c>
      <c r="R38" s="7" t="s">
        <v>1019</v>
      </c>
    </row>
    <row r="39" spans="1:18" ht="35.25" customHeight="1">
      <c r="A39" s="7">
        <v>49</v>
      </c>
      <c r="B39" s="7" t="s">
        <v>89</v>
      </c>
      <c r="C39" s="7" t="s">
        <v>1020</v>
      </c>
      <c r="D39" s="7" t="s">
        <v>1021</v>
      </c>
      <c r="E39" s="7" t="s">
        <v>1022</v>
      </c>
      <c r="F39" s="7">
        <v>3</v>
      </c>
      <c r="G39" s="7" t="s">
        <v>794</v>
      </c>
      <c r="H39" s="7" t="s">
        <v>1023</v>
      </c>
      <c r="I39" s="7" t="s">
        <v>1024</v>
      </c>
      <c r="J39" s="7">
        <v>7</v>
      </c>
      <c r="K39" s="7">
        <v>7</v>
      </c>
      <c r="L39" s="7">
        <v>8</v>
      </c>
      <c r="M39" s="7">
        <v>6</v>
      </c>
      <c r="N39" s="7">
        <f t="shared" si="3"/>
        <v>7</v>
      </c>
      <c r="O39" s="12">
        <f t="shared" si="4"/>
        <v>2.9333333333333331</v>
      </c>
      <c r="P39" s="7">
        <f t="shared" si="5"/>
        <v>37</v>
      </c>
      <c r="Q39" s="7" t="s">
        <v>1025</v>
      </c>
      <c r="R39" s="7" t="s">
        <v>1026</v>
      </c>
    </row>
    <row r="40" spans="1:18" ht="35.25" customHeight="1">
      <c r="A40" s="7">
        <v>19</v>
      </c>
      <c r="B40" s="7" t="s">
        <v>73</v>
      </c>
      <c r="C40" s="7" t="s">
        <v>1027</v>
      </c>
      <c r="D40" s="7" t="s">
        <v>1028</v>
      </c>
      <c r="E40" s="7" t="s">
        <v>1029</v>
      </c>
      <c r="F40" s="7">
        <v>3</v>
      </c>
      <c r="G40" s="7" t="s">
        <v>1030</v>
      </c>
      <c r="H40" s="7" t="s">
        <v>1031</v>
      </c>
      <c r="I40" s="7" t="s">
        <v>1032</v>
      </c>
      <c r="J40" s="7">
        <v>7</v>
      </c>
      <c r="K40" s="7">
        <v>7</v>
      </c>
      <c r="L40" s="7">
        <v>7</v>
      </c>
      <c r="M40" s="7">
        <v>6</v>
      </c>
      <c r="N40" s="7">
        <f t="shared" si="3"/>
        <v>6.75</v>
      </c>
      <c r="O40" s="12">
        <f t="shared" si="4"/>
        <v>2.8</v>
      </c>
      <c r="P40" s="7">
        <f t="shared" si="5"/>
        <v>39</v>
      </c>
      <c r="Q40" s="7" t="s">
        <v>1033</v>
      </c>
      <c r="R40" s="7" t="s">
        <v>1034</v>
      </c>
    </row>
    <row r="41" spans="1:18" ht="35.25" customHeight="1">
      <c r="A41" s="7">
        <v>44</v>
      </c>
      <c r="B41" s="7" t="s">
        <v>87</v>
      </c>
      <c r="C41" s="7" t="s">
        <v>1035</v>
      </c>
      <c r="D41" s="7" t="s">
        <v>1036</v>
      </c>
      <c r="E41" s="7" t="s">
        <v>1037</v>
      </c>
      <c r="F41" s="7">
        <v>3</v>
      </c>
      <c r="G41" s="7" t="s">
        <v>1038</v>
      </c>
      <c r="H41" s="7" t="s">
        <v>1039</v>
      </c>
      <c r="I41" s="7" t="s">
        <v>1040</v>
      </c>
      <c r="J41" s="7">
        <v>7</v>
      </c>
      <c r="K41" s="7">
        <v>7</v>
      </c>
      <c r="L41" s="7">
        <v>7</v>
      </c>
      <c r="M41" s="7">
        <v>6</v>
      </c>
      <c r="N41" s="7">
        <f t="shared" si="3"/>
        <v>6.75</v>
      </c>
      <c r="O41" s="12">
        <f t="shared" si="4"/>
        <v>2.8</v>
      </c>
      <c r="P41" s="7">
        <f t="shared" si="5"/>
        <v>39</v>
      </c>
      <c r="Q41" s="7" t="s">
        <v>1041</v>
      </c>
      <c r="R41" s="7" t="s">
        <v>1042</v>
      </c>
    </row>
    <row r="42" spans="1:18" ht="35.25" customHeight="1">
      <c r="A42" s="7">
        <v>48</v>
      </c>
      <c r="B42" s="7" t="s">
        <v>89</v>
      </c>
      <c r="C42" s="7" t="s">
        <v>1043</v>
      </c>
      <c r="D42" s="7" t="s">
        <v>1044</v>
      </c>
      <c r="E42" s="7" t="s">
        <v>1045</v>
      </c>
      <c r="F42" s="7">
        <v>3</v>
      </c>
      <c r="G42" s="7" t="s">
        <v>778</v>
      </c>
      <c r="H42" s="7" t="s">
        <v>1046</v>
      </c>
      <c r="I42" s="7" t="s">
        <v>1047</v>
      </c>
      <c r="J42" s="7">
        <v>7</v>
      </c>
      <c r="K42" s="7">
        <v>7</v>
      </c>
      <c r="L42" s="7">
        <v>7</v>
      </c>
      <c r="M42" s="7">
        <v>6</v>
      </c>
      <c r="N42" s="7">
        <f t="shared" si="3"/>
        <v>6.75</v>
      </c>
      <c r="O42" s="12">
        <f t="shared" si="4"/>
        <v>2.8</v>
      </c>
      <c r="P42" s="7">
        <f t="shared" si="5"/>
        <v>39</v>
      </c>
      <c r="Q42" s="7" t="s">
        <v>1048</v>
      </c>
      <c r="R42" s="7" t="s">
        <v>1049</v>
      </c>
    </row>
    <row r="43" spans="1:18" ht="35.25" customHeight="1">
      <c r="A43" s="7">
        <v>47</v>
      </c>
      <c r="B43" s="7" t="s">
        <v>88</v>
      </c>
      <c r="C43" s="7" t="s">
        <v>1050</v>
      </c>
      <c r="D43" s="7" t="s">
        <v>1051</v>
      </c>
      <c r="E43" s="7" t="s">
        <v>1052</v>
      </c>
      <c r="F43" s="7">
        <v>3</v>
      </c>
      <c r="G43" s="7" t="s">
        <v>794</v>
      </c>
      <c r="H43" s="7" t="s">
        <v>1053</v>
      </c>
      <c r="I43" s="7" t="s">
        <v>1054</v>
      </c>
      <c r="J43" s="7">
        <v>7</v>
      </c>
      <c r="K43" s="7">
        <v>7</v>
      </c>
      <c r="L43" s="7">
        <v>6</v>
      </c>
      <c r="M43" s="7">
        <v>6</v>
      </c>
      <c r="N43" s="7">
        <f t="shared" si="3"/>
        <v>6.5</v>
      </c>
      <c r="O43" s="12">
        <f t="shared" si="4"/>
        <v>2.6666666666666665</v>
      </c>
      <c r="P43" s="7">
        <f t="shared" si="5"/>
        <v>42</v>
      </c>
      <c r="Q43" s="7" t="s">
        <v>1055</v>
      </c>
      <c r="R43" s="7" t="s">
        <v>1056</v>
      </c>
    </row>
    <row r="44" spans="1:18" ht="35.25" customHeight="1">
      <c r="A44" s="7">
        <v>9</v>
      </c>
      <c r="B44" s="7" t="s">
        <v>69</v>
      </c>
      <c r="C44" s="7" t="s">
        <v>1057</v>
      </c>
      <c r="D44" s="7" t="s">
        <v>1058</v>
      </c>
      <c r="E44" s="7" t="s">
        <v>1059</v>
      </c>
      <c r="F44" s="7">
        <v>4</v>
      </c>
      <c r="G44" s="7" t="s">
        <v>754</v>
      </c>
      <c r="H44" s="7" t="s">
        <v>1060</v>
      </c>
      <c r="I44" s="7" t="s">
        <v>1061</v>
      </c>
      <c r="J44" s="7">
        <v>9</v>
      </c>
      <c r="K44" s="7">
        <v>9</v>
      </c>
      <c r="L44" s="7">
        <v>8</v>
      </c>
      <c r="M44" s="7">
        <v>7</v>
      </c>
      <c r="N44" s="7">
        <f t="shared" si="3"/>
        <v>8.25</v>
      </c>
      <c r="O44" s="12">
        <f t="shared" si="4"/>
        <v>2.6</v>
      </c>
      <c r="P44" s="7">
        <f t="shared" si="5"/>
        <v>43</v>
      </c>
      <c r="Q44" s="7" t="s">
        <v>990</v>
      </c>
      <c r="R44" s="7" t="s">
        <v>1062</v>
      </c>
    </row>
    <row r="45" spans="1:18" ht="35.25" customHeight="1">
      <c r="A45" s="7">
        <v>10</v>
      </c>
      <c r="B45" s="7" t="s">
        <v>69</v>
      </c>
      <c r="C45" s="7" t="s">
        <v>1063</v>
      </c>
      <c r="D45" s="7" t="s">
        <v>1064</v>
      </c>
      <c r="E45" s="7" t="s">
        <v>1065</v>
      </c>
      <c r="F45" s="7">
        <v>4</v>
      </c>
      <c r="G45" s="7" t="s">
        <v>1066</v>
      </c>
      <c r="H45" s="7" t="s">
        <v>1067</v>
      </c>
      <c r="I45" s="7" t="s">
        <v>1068</v>
      </c>
      <c r="J45" s="7">
        <v>8</v>
      </c>
      <c r="K45" s="7">
        <v>10</v>
      </c>
      <c r="L45" s="7">
        <v>8</v>
      </c>
      <c r="M45" s="7">
        <v>7</v>
      </c>
      <c r="N45" s="7">
        <f t="shared" si="3"/>
        <v>8.25</v>
      </c>
      <c r="O45" s="12">
        <f t="shared" si="4"/>
        <v>2.6</v>
      </c>
      <c r="P45" s="7">
        <f t="shared" si="5"/>
        <v>43</v>
      </c>
      <c r="Q45" s="7" t="s">
        <v>1069</v>
      </c>
      <c r="R45" s="7" t="s">
        <v>1070</v>
      </c>
    </row>
    <row r="46" spans="1:18" ht="35.25" customHeight="1">
      <c r="A46" s="7">
        <v>13</v>
      </c>
      <c r="B46" s="7" t="s">
        <v>71</v>
      </c>
      <c r="C46" s="7" t="s">
        <v>1071</v>
      </c>
      <c r="D46" s="7" t="s">
        <v>1072</v>
      </c>
      <c r="E46" s="7" t="s">
        <v>1073</v>
      </c>
      <c r="F46" s="7">
        <v>4</v>
      </c>
      <c r="G46" s="7" t="s">
        <v>794</v>
      </c>
      <c r="H46" s="7" t="s">
        <v>1074</v>
      </c>
      <c r="I46" s="7" t="s">
        <v>1075</v>
      </c>
      <c r="J46" s="7">
        <v>9</v>
      </c>
      <c r="K46" s="7">
        <v>10</v>
      </c>
      <c r="L46" s="7">
        <v>6</v>
      </c>
      <c r="M46" s="7">
        <v>7</v>
      </c>
      <c r="N46" s="7">
        <f t="shared" si="3"/>
        <v>8</v>
      </c>
      <c r="O46" s="12">
        <f t="shared" si="4"/>
        <v>2.5</v>
      </c>
      <c r="P46" s="7">
        <f t="shared" si="5"/>
        <v>45</v>
      </c>
      <c r="Q46" s="7" t="s">
        <v>1076</v>
      </c>
      <c r="R46" s="7" t="s">
        <v>1077</v>
      </c>
    </row>
    <row r="47" spans="1:18" ht="35.25" customHeight="1">
      <c r="A47" s="7">
        <v>34</v>
      </c>
      <c r="B47" s="7" t="s">
        <v>83</v>
      </c>
      <c r="C47" s="7" t="s">
        <v>977</v>
      </c>
      <c r="D47" s="7" t="s">
        <v>1078</v>
      </c>
      <c r="E47" s="7" t="s">
        <v>1079</v>
      </c>
      <c r="F47" s="7">
        <v>4</v>
      </c>
      <c r="G47" s="7" t="s">
        <v>794</v>
      </c>
      <c r="H47" s="7" t="s">
        <v>1080</v>
      </c>
      <c r="I47" s="7" t="s">
        <v>1081</v>
      </c>
      <c r="J47" s="7">
        <v>9</v>
      </c>
      <c r="K47" s="7">
        <v>9</v>
      </c>
      <c r="L47" s="7">
        <v>7</v>
      </c>
      <c r="M47" s="7">
        <v>7</v>
      </c>
      <c r="N47" s="7">
        <f t="shared" si="3"/>
        <v>8</v>
      </c>
      <c r="O47" s="12">
        <f t="shared" si="4"/>
        <v>2.5</v>
      </c>
      <c r="P47" s="7">
        <f t="shared" si="5"/>
        <v>45</v>
      </c>
      <c r="Q47" s="7" t="s">
        <v>797</v>
      </c>
      <c r="R47" s="7" t="s">
        <v>1082</v>
      </c>
    </row>
    <row r="48" spans="1:18" ht="35.25" customHeight="1">
      <c r="A48" s="7">
        <v>20</v>
      </c>
      <c r="B48" s="7" t="s">
        <v>75</v>
      </c>
      <c r="C48" s="7" t="s">
        <v>1083</v>
      </c>
      <c r="D48" s="7" t="s">
        <v>1084</v>
      </c>
      <c r="E48" s="7" t="s">
        <v>1085</v>
      </c>
      <c r="F48" s="7">
        <v>3</v>
      </c>
      <c r="G48" s="7" t="s">
        <v>1086</v>
      </c>
      <c r="H48" s="7" t="s">
        <v>1087</v>
      </c>
      <c r="I48" s="7" t="s">
        <v>1088</v>
      </c>
      <c r="J48" s="7">
        <v>7</v>
      </c>
      <c r="K48" s="7">
        <v>7</v>
      </c>
      <c r="L48" s="7">
        <v>8</v>
      </c>
      <c r="M48" s="7">
        <v>7</v>
      </c>
      <c r="N48" s="7">
        <f t="shared" si="3"/>
        <v>7.25</v>
      </c>
      <c r="O48" s="12">
        <f t="shared" si="4"/>
        <v>2.2000000000000002</v>
      </c>
      <c r="P48" s="7">
        <f t="shared" si="5"/>
        <v>47</v>
      </c>
      <c r="Q48" s="7" t="s">
        <v>1089</v>
      </c>
      <c r="R48" s="7" t="s">
        <v>1090</v>
      </c>
    </row>
    <row r="49" spans="1:18" ht="35.25" customHeight="1">
      <c r="A49" s="7">
        <v>45</v>
      </c>
      <c r="B49" s="7" t="s">
        <v>87</v>
      </c>
      <c r="C49" s="7" t="s">
        <v>1091</v>
      </c>
      <c r="D49" s="7" t="s">
        <v>359</v>
      </c>
      <c r="E49" s="7" t="s">
        <v>362</v>
      </c>
      <c r="F49" s="7">
        <v>3</v>
      </c>
      <c r="G49" s="7" t="s">
        <v>1092</v>
      </c>
      <c r="H49" s="7" t="s">
        <v>364</v>
      </c>
      <c r="I49" s="7" t="s">
        <v>93</v>
      </c>
      <c r="J49" s="7">
        <v>7</v>
      </c>
      <c r="K49" s="7">
        <v>8</v>
      </c>
      <c r="L49" s="7">
        <v>7</v>
      </c>
      <c r="M49" s="7">
        <v>7</v>
      </c>
      <c r="N49" s="7">
        <f t="shared" si="3"/>
        <v>7.25</v>
      </c>
      <c r="O49" s="12">
        <f t="shared" si="4"/>
        <v>2.2000000000000002</v>
      </c>
      <c r="P49" s="7">
        <f t="shared" si="5"/>
        <v>47</v>
      </c>
      <c r="Q49" s="7" t="s">
        <v>1093</v>
      </c>
      <c r="R49" s="7" t="s">
        <v>1094</v>
      </c>
    </row>
    <row r="50" spans="1:18" ht="35.25" customHeight="1">
      <c r="A50" s="7">
        <v>46</v>
      </c>
      <c r="B50" s="7" t="s">
        <v>88</v>
      </c>
      <c r="C50" s="7" t="s">
        <v>1095</v>
      </c>
      <c r="D50" s="7" t="s">
        <v>1096</v>
      </c>
      <c r="E50" s="7" t="s">
        <v>1097</v>
      </c>
      <c r="F50" s="7">
        <v>3</v>
      </c>
      <c r="G50" s="7" t="s">
        <v>794</v>
      </c>
      <c r="H50" s="7" t="s">
        <v>1098</v>
      </c>
      <c r="I50" s="7" t="s">
        <v>1099</v>
      </c>
      <c r="J50" s="7">
        <v>6</v>
      </c>
      <c r="K50" s="7">
        <v>6</v>
      </c>
      <c r="L50" s="7">
        <v>8</v>
      </c>
      <c r="M50" s="7">
        <v>7</v>
      </c>
      <c r="N50" s="7">
        <f t="shared" si="3"/>
        <v>6.75</v>
      </c>
      <c r="O50" s="12">
        <f t="shared" si="4"/>
        <v>2</v>
      </c>
      <c r="P50" s="7">
        <f t="shared" si="5"/>
        <v>49</v>
      </c>
      <c r="Q50" s="7" t="s">
        <v>1100</v>
      </c>
      <c r="R50" s="7" t="s">
        <v>1101</v>
      </c>
    </row>
    <row r="51" spans="1:18" ht="35.25" customHeight="1">
      <c r="A51" s="7">
        <v>36</v>
      </c>
      <c r="B51" s="7" t="s">
        <v>83</v>
      </c>
      <c r="C51" s="7" t="s">
        <v>1102</v>
      </c>
      <c r="D51" s="7" t="s">
        <v>1103</v>
      </c>
      <c r="E51" s="7" t="s">
        <v>1104</v>
      </c>
      <c r="F51" s="7">
        <v>4</v>
      </c>
      <c r="G51" s="7" t="s">
        <v>809</v>
      </c>
      <c r="H51" s="7" t="s">
        <v>1105</v>
      </c>
      <c r="I51" s="7" t="s">
        <v>1106</v>
      </c>
      <c r="J51" s="7">
        <v>6</v>
      </c>
      <c r="K51" s="7">
        <v>8</v>
      </c>
      <c r="L51" s="7">
        <v>9</v>
      </c>
      <c r="M51" s="7">
        <v>8</v>
      </c>
      <c r="N51" s="7">
        <f t="shared" si="3"/>
        <v>7.75</v>
      </c>
      <c r="O51" s="12">
        <f t="shared" si="4"/>
        <v>1.5333333333333334</v>
      </c>
      <c r="P51" s="7">
        <f t="shared" si="5"/>
        <v>50</v>
      </c>
      <c r="Q51" s="7" t="s">
        <v>1069</v>
      </c>
      <c r="R51" s="7" t="s">
        <v>1101</v>
      </c>
    </row>
  </sheetData>
  <autoFilter ref="A1:R51" xr:uid="{00000000-0001-0000-0300-000000000000}">
    <sortState xmlns:xlrd2="http://schemas.microsoft.com/office/spreadsheetml/2017/richdata2" ref="A2:R51">
      <sortCondition descending="1" ref="O1:O51"/>
    </sortState>
  </autoFilter>
  <conditionalFormatting sqref="F2:F51">
    <cfRule type="colorScale" priority="2">
      <colorScale>
        <cfvo type="num" val="1"/>
        <cfvo type="num" val="2.5"/>
        <cfvo type="num" val="4"/>
        <color rgb="FFFCE4D6"/>
        <color rgb="FFFFF2CC"/>
        <color rgb="FFC6EFCE"/>
      </colorScale>
    </cfRule>
  </conditionalFormatting>
  <conditionalFormatting sqref="O2:O51">
    <cfRule type="colorScale" priority="1">
      <colorScale>
        <cfvo type="num" val="0"/>
        <cfvo type="num" val="5"/>
        <cfvo type="num" val="10"/>
        <color rgb="FFF8696B"/>
        <color rgb="FFFFEB84"/>
        <color rgb="FF63BE7B"/>
      </colorScale>
    </cfRule>
  </conditionalFormatting>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promptTitle="DE-Relevanz" prompt="4=Sehr hoch, 3=Hoch, 2=Mittel, 1=Niedrig" xr:uid="{00000000-0002-0000-0300-000000000000}">
          <x14:formula1>
            <xm:f>_Listen!$C$2:$C$5</xm:f>
          </x14:formula1>
          <xm:sqref>F2:F60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A448-B287-4BF5-BA99-806F4F681FF0}">
  <dimension ref="D5:E15"/>
  <sheetViews>
    <sheetView workbookViewId="0">
      <selection activeCell="D12" sqref="D12:D13"/>
    </sheetView>
  </sheetViews>
  <sheetFormatPr baseColWidth="10" defaultColWidth="11.453125" defaultRowHeight="14.5"/>
  <cols>
    <col min="4" max="4" width="53.453125" customWidth="1"/>
    <col min="5" max="5" width="29.7265625" customWidth="1"/>
    <col min="16383" max="16383" width="9.1796875" bestFit="1" customWidth="1"/>
    <col min="16384" max="16384" width="9.1796875" customWidth="1"/>
  </cols>
  <sheetData>
    <row r="5" spans="4:5">
      <c r="D5" t="s">
        <v>1107</v>
      </c>
      <c r="E5" t="s">
        <v>1108</v>
      </c>
    </row>
    <row r="6" spans="4:5" ht="29.25" customHeight="1">
      <c r="D6" s="96" t="s">
        <v>1109</v>
      </c>
      <c r="E6" t="s">
        <v>1110</v>
      </c>
    </row>
    <row r="7" spans="4:5">
      <c r="D7" s="96"/>
      <c r="E7" t="s">
        <v>1111</v>
      </c>
    </row>
    <row r="8" spans="4:5">
      <c r="D8" s="96"/>
      <c r="E8" t="s">
        <v>1112</v>
      </c>
    </row>
    <row r="9" spans="4:5">
      <c r="D9" s="96"/>
      <c r="E9" t="s">
        <v>1113</v>
      </c>
    </row>
    <row r="10" spans="4:5">
      <c r="D10" s="96" t="s">
        <v>1114</v>
      </c>
      <c r="E10" t="s">
        <v>1115</v>
      </c>
    </row>
    <row r="11" spans="4:5">
      <c r="D11" s="96"/>
      <c r="E11" t="s">
        <v>1116</v>
      </c>
    </row>
    <row r="12" spans="4:5">
      <c r="D12" s="96" t="s">
        <v>1117</v>
      </c>
      <c r="E12" t="s">
        <v>1118</v>
      </c>
    </row>
    <row r="13" spans="4:5">
      <c r="D13" s="96"/>
      <c r="E13" t="s">
        <v>1119</v>
      </c>
    </row>
    <row r="14" spans="4:5">
      <c r="D14" s="96" t="s">
        <v>1120</v>
      </c>
      <c r="E14" t="s">
        <v>1121</v>
      </c>
    </row>
    <row r="15" spans="4:5">
      <c r="D15" s="96"/>
      <c r="E15" t="s">
        <v>1122</v>
      </c>
    </row>
  </sheetData>
  <mergeCells count="4">
    <mergeCell ref="D6:D9"/>
    <mergeCell ref="D10:D11"/>
    <mergeCell ref="D12:D13"/>
    <mergeCell ref="D14:D15"/>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Anleitung</vt:lpstr>
      <vt:lpstr>Dashboard</vt:lpstr>
      <vt:lpstr>_Listen</vt:lpstr>
      <vt:lpstr>App-Ideen Liste</vt:lpstr>
      <vt:lpstr>Übersicht</vt:lpstr>
      <vt:lpstr>Status</vt:lpstr>
      <vt:lpstr>Trendanalyse TOP 50</vt:lpstr>
      <vt:lpstr>Domänen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 Moretz</cp:lastModifiedBy>
  <cp:revision/>
  <dcterms:created xsi:type="dcterms:W3CDTF">2026-01-26T14:48:01Z</dcterms:created>
  <dcterms:modified xsi:type="dcterms:W3CDTF">2026-05-21T16:30:02Z</dcterms:modified>
  <cp:category/>
  <cp:contentStatus/>
</cp:coreProperties>
</file>